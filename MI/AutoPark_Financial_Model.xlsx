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" sheetId="3" state="visible" r:id="rId5"/>
    <sheet name="CASH FLOW" sheetId="4" state="visible" r:id="rId6"/>
    <sheet name="UNIT ECONOMICS" sheetId="5" state="visible" r:id="rId7"/>
    <sheet name="NPV &amp; SCENARIOS" sheetId="6" state="visible" r:id="rId8"/>
    <sheet name="EXIT 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<sst xmlns="http://schemas.openxmlformats.org/spreadsheetml/2006/main" count="457" uniqueCount="377">
  <si>
    <t xml:space="preserve">AutoPark  —  Financial Model</t>
  </si>
  <si>
    <t xml:space="preserve">Autonomous Self-Parking Platform  |  aUToronto Spinout  |  University of Toronto</t>
  </si>
  <si>
    <t xml:space="preserve">Seed Round Investment Model  |  March 2026</t>
  </si>
  <si>
    <t xml:space="preserve">MODEL OVERVIEW</t>
  </si>
  <si>
    <t xml:space="preserve">Purpose</t>
  </si>
  <si>
    <t xml:space="preserve">Two-phase startup financial model: Phase 1 loss-leader bridge product (2026–2028) + Phase 2 L4/L5 autonomous parking platform (2028+). Models seed round sizing, break-even, NPV, IRR, and OEM acquisition valuation.</t>
  </si>
  <si>
    <t xml:space="preserve">Terminal Event</t>
  </si>
  <si>
    <t xml:space="preserve">OEM acquisition (GM primary target). Terminal value modeled via three methods: ARR multiple, per-gate network value, strategic comparable (GM/Cruise).</t>
  </si>
  <si>
    <t xml:space="preserve">Scenarios</t>
  </si>
  <si>
    <t xml:space="preserve">Bear / Base / Bull across RSU rollout pace and transaction volume. $15 blended average ticket price (conservative).</t>
  </si>
  <si>
    <t xml:space="preserve">Seed Ask</t>
  </si>
  <si>
    <t xml:space="preserve">Modular: $500k / $1M / $2M. Model shows what each tranche buys in RSU gates, runway, and traction milestones.</t>
  </si>
  <si>
    <t xml:space="preserve">Time Horizon</t>
  </si>
  <si>
    <t xml:space="preserve">2026 – 2032 (7 years). Monthly detail for Year 1–2 (J-Curve); annual thereafter.</t>
  </si>
  <si>
    <t xml:space="preserve">COLOR CODING LEGEND</t>
  </si>
  <si>
    <t xml:space="preserve">Blue text</t>
  </si>
  <si>
    <t xml:space="preserve">Hardcoded input — edit these to change scenarios</t>
  </si>
  <si>
    <t xml:space="preserve">Black text</t>
  </si>
  <si>
    <t xml:space="preserve">Formula — calculated automatically</t>
  </si>
  <si>
    <t xml:space="preserve">Green text</t>
  </si>
  <si>
    <t xml:space="preserve">Cross-sheet link — pulls from ASSUMPTIONS tab</t>
  </si>
  <si>
    <t xml:space="preserve">Yellow background</t>
  </si>
  <si>
    <t xml:space="preserve">Key assumption requiring attention</t>
  </si>
  <si>
    <t xml:space="preserve">Bear shading (pink)</t>
  </si>
  <si>
    <t xml:space="preserve">Bear case scenario values</t>
  </si>
  <si>
    <t xml:space="preserve">Base shading (green)</t>
  </si>
  <si>
    <t xml:space="preserve">Base case scenario values</t>
  </si>
  <si>
    <t xml:space="preserve">Bull shading (blue)</t>
  </si>
  <si>
    <t xml:space="preserve">Bull case scenario values</t>
  </si>
  <si>
    <t xml:space="preserve">TABLE OF CONTENTS</t>
  </si>
  <si>
    <t xml:space="preserve">ASSUMPTIONS</t>
  </si>
  <si>
    <t xml:space="preserve">All editable inputs: rollout, pricing, costs, Phase 2 assumptions, financial parameters</t>
  </si>
  <si>
    <t xml:space="preserve">P&amp;L</t>
  </si>
  <si>
    <t xml:space="preserve">Annual Income Statement 2026–2032, Bear / Base / Bull scenarios</t>
  </si>
  <si>
    <t xml:space="preserve">CASH FLOW</t>
  </si>
  <si>
    <t xml:space="preserve">Monthly J-Curve: 24-month burn, break-even inflection, seed runway</t>
  </si>
  <si>
    <t xml:space="preserve">UNIT ECONOMICS</t>
  </si>
  <si>
    <t xml:space="preserve">Per-RSU payback, LTV/CAC, platform-level metrics</t>
  </si>
  <si>
    <t xml:space="preserve">NPV &amp; SCENARIOS</t>
  </si>
  <si>
    <t xml:space="preserve">DCF, IRR, sensitivity table, scenario comparison dashboard</t>
  </si>
  <si>
    <t xml:space="preserve">EXIT VALUATION</t>
  </si>
  <si>
    <t xml:space="preserve">Three acquisition valuation methods + investor return waterfall</t>
  </si>
  <si>
    <t xml:space="preserve">AutoPark — Model Assumptions</t>
  </si>
  <si>
    <t xml:space="preserve">All blue cells are editable inputs. Black = formulas. Yellow = key assumptions needing review.</t>
  </si>
  <si>
    <t xml:space="preserve">A. MARKET &amp; PRICING ASSUMPTIONS</t>
  </si>
  <si>
    <t xml:space="preserve">Parameter</t>
  </si>
  <si>
    <t xml:space="preserve">Value</t>
  </si>
  <si>
    <t xml:space="preserve">Units</t>
  </si>
  <si>
    <t xml:space="preserve">Note</t>
  </si>
  <si>
    <t xml:space="preserve">Average Parking Ticket — Phase 1 (Bridge)</t>
  </si>
  <si>
    <t xml:space="preserve">$/session</t>
  </si>
  <si>
    <t xml:space="preserve">Conservative blended downtown Toronto rate</t>
  </si>
  <si>
    <t xml:space="preserve">Average Parking Ticket — Phase 2 (L4/L5)</t>
  </si>
  <si>
    <t xml:space="preserve">AV premium lots charge more</t>
  </si>
  <si>
    <t xml:space="preserve">AutoPark Total Commission Rate</t>
  </si>
  <si>
    <t xml:space="preserve">%</t>
  </si>
  <si>
    <t xml:space="preserve">35% of base ticket; split dynamically between lot + user</t>
  </si>
  <si>
    <t xml:space="preserve">Stripe Transaction Rate</t>
  </si>
  <si>
    <t xml:space="preserve">Per Stripe standard API pricing</t>
  </si>
  <si>
    <t xml:space="preserve">Stripe Fixed Fee</t>
  </si>
  <si>
    <t xml:space="preserve">$/txn</t>
  </si>
  <si>
    <t xml:space="preserve">Stripe Radar Fee</t>
  </si>
  <si>
    <t xml:space="preserve">Automated fraud detection — required for unattended gates</t>
  </si>
  <si>
    <t xml:space="preserve">Free-Lot Convenience Fee</t>
  </si>
  <si>
    <t xml:space="preserve">Mid-range of $0.49–$0.99 flat fee</t>
  </si>
  <si>
    <t xml:space="preserve">Free-Lot Session Mix</t>
  </si>
  <si>
    <t xml:space="preserve">Est. 12% of sessions on free/metered lots</t>
  </si>
  <si>
    <t xml:space="preserve">Operating Days per Year</t>
  </si>
  <si>
    <t xml:space="preserve">days</t>
  </si>
  <si>
    <t xml:space="preserve">365-day operation</t>
  </si>
  <si>
    <t xml:space="preserve">Phase 1 End Year (Bridge → L4 transition)</t>
  </si>
  <si>
    <t xml:space="preserve">year</t>
  </si>
  <si>
    <t xml:space="preserve">L4/L5 commercial scale assumed 2028</t>
  </si>
  <si>
    <t xml:space="preserve">B. RSU ROLLOUT — NEW GATES ADDED PER YEAR</t>
  </si>
  <si>
    <t xml:space="preserve">Year</t>
  </si>
  <si>
    <t xml:space="preserve">Bear</t>
  </si>
  <si>
    <t xml:space="preserve">Base</t>
  </si>
  <si>
    <t xml:space="preserve">Bull</t>
  </si>
  <si>
    <t xml:space="preserve">Pilot year — 3–5 signed LOIs; U of T + GreenP</t>
  </si>
  <si>
    <t xml:space="preserve">Scale city-wide Toronto; first expansion city</t>
  </si>
  <si>
    <t xml:space="preserve">Phase 2 transition year — slower hardware adds, focus on OBU OEM integration</t>
  </si>
  <si>
    <t xml:space="preserve">Steady state growth — revenues accelerating</t>
  </si>
  <si>
    <t xml:space="preserve">North America expansion begins</t>
  </si>
  <si>
    <t xml:space="preserve">Mature network; focus on OEM SaaS ARR</t>
  </si>
  <si>
    <t xml:space="preserve">Pre-acquisition scale</t>
  </si>
  <si>
    <t xml:space="preserve">C. TRANSACTIONS PER GATE PER DAY (GROWING WITH ADOPTION)</t>
  </si>
  <si>
    <t xml:space="preserve">Early adoption — bridge product ramp</t>
  </si>
  <si>
    <t xml:space="preserve">Growing user base + expanded lot network</t>
  </si>
  <si>
    <t xml:space="preserve">Phase 2 early — first L4 vehicles + bridge still active</t>
  </si>
  <si>
    <t xml:space="preserve">Phase 2 scaling — L4 fleet growing</t>
  </si>
  <si>
    <t xml:space="preserve">Steady state</t>
  </si>
  <si>
    <t xml:space="preserve">D. HARDWARE COSTS</t>
  </si>
  <si>
    <t xml:space="preserve">Source</t>
  </si>
  <si>
    <t xml:space="preserve">RSU Unit Cost — Pilot Phase (&lt;200 cumulative gates)</t>
  </si>
  <si>
    <t xml:space="preserve">$/gate</t>
  </si>
  <si>
    <t xml:space="preserve">Gemini Deep Research validated BOM (CM4+AG15+RFID+enclosure)</t>
  </si>
  <si>
    <t xml:space="preserve">RSU Unit Cost — Scale Phase (≥200 cumulative gates)</t>
  </si>
  <si>
    <t xml:space="preserve">Custom PCB production run; Gemini Deep Research validated</t>
  </si>
  <si>
    <t xml:space="preserve">RSU Pilot-to-Scale Threshold (cumulative gates)</t>
  </si>
  <si>
    <t xml:space="preserve">gates</t>
  </si>
  <si>
    <t xml:space="preserve">Switch to scale pricing above this gate count</t>
  </si>
  <si>
    <t xml:space="preserve">OBU Unit Cost — Pilot (Cohda MK6C)</t>
  </si>
  <si>
    <t xml:space="preserve">$/unit</t>
  </si>
  <si>
    <t xml:space="preserve">Gemini Deep Research validated BOM; pre-certified avoids FCC NRE</t>
  </si>
  <si>
    <t xml:space="preserve">OBU Unit Cost — Production (Snapdragon 2150)</t>
  </si>
  <si>
    <t xml:space="preserve">Gemini Deep Research validated; custom PCB at 50k units</t>
  </si>
  <si>
    <t xml:space="preserve">RSU Subsidy Rate (% of cost charged to lot operator)</t>
  </si>
  <si>
    <t xml:space="preserve">Phase 1: 100% subsidised to acquire operators. Recovered via commissions.</t>
  </si>
  <si>
    <t xml:space="preserve">E. OPERATING COSTS</t>
  </si>
  <si>
    <t xml:space="preserve">Cloud Infra Cost per Gate per Year (AWS IoT Core + SageMaker)</t>
  </si>
  <si>
    <t xml:space="preserve">$/gate/yr</t>
  </si>
  <si>
    <t xml:space="preserve">Scales with RSU count; $4,200/mo at 50 gates</t>
  </si>
  <si>
    <t xml:space="preserve">Parkopedia API (annual flat fee)</t>
  </si>
  <si>
    <t xml:space="preserve">$/yr</t>
  </si>
  <si>
    <t xml:space="preserve">Automotive volume licence — confirmed &lt; Google Maps $15k+/mo</t>
  </si>
  <si>
    <t xml:space="preserve">R&amp;D — Phase 1 PoC (2026)</t>
  </si>
  <si>
    <t xml:space="preserve">Hardware prototyping + OBU integration on aUToronto AV</t>
  </si>
  <si>
    <t xml:space="preserve">R&amp;D — Phase 2 Pilot (2027)</t>
  </si>
  <si>
    <t xml:space="preserve">50 RSU deployment + OBU pilot units + ML Demand Index v1</t>
  </si>
  <si>
    <t xml:space="preserve">R&amp;D — Phase 3 Commercial (2028)</t>
  </si>
  <si>
    <t xml:space="preserve">OEM SDK + ODD regulatory filing + Parkopedia API</t>
  </si>
  <si>
    <t xml:space="preserve">R&amp;D — Phase 4 Scale (2029+)</t>
  </si>
  <si>
    <t xml:space="preserve">Snapdragon 2150 PCB NRE + 5+ OEM integrations</t>
  </si>
  <si>
    <t xml:space="preserve">Sales &amp; Marketing (% of revenue)</t>
  </si>
  <si>
    <t xml:space="preserve">15% of gross revenue; direct lot operator outreach + CPA conference</t>
  </si>
  <si>
    <t xml:space="preserve">G&amp;A Base (annual, growing 10%/yr)</t>
  </si>
  <si>
    <t xml:space="preserve">Legal, admin, accounting, insurance</t>
  </si>
  <si>
    <t xml:space="preserve">F. PHASE 2 — OEM SAAS &amp; VEHICLE ENROLLMENT</t>
  </si>
  <si>
    <t xml:space="preserve">OEM SaaS per vehicle per year ($)</t>
  </si>
  <si>
    <t xml:space="preserve">Bear=budget, Base=market rate, Bull=premium</t>
  </si>
  <si>
    <t xml:space="preserve">Enrolled vehicles — 2028 (Year 1 of Phase 2, '000s)</t>
  </si>
  <si>
    <t xml:space="preserve">Initial OEM partnership fleet count</t>
  </si>
  <si>
    <t xml:space="preserve">Enrolled vehicle growth rate (annual %)</t>
  </si>
  <si>
    <t xml:space="preserve">Per year; Bear=20%, Base=40%, Bull=60%</t>
  </si>
  <si>
    <t xml:space="preserve">G. FINANCIAL PARAMETERS (NPV / IRR / EXIT)</t>
  </si>
  <si>
    <t xml:space="preserve">Discount Rate (WACC — early stage startup)</t>
  </si>
  <si>
    <t xml:space="preserve">25% is standard for pre-revenue seed-stage startup NPV</t>
  </si>
  <si>
    <t xml:space="preserve">Exit Year</t>
  </si>
  <si>
    <t xml:space="preserve">Target acquisition year</t>
  </si>
  <si>
    <t xml:space="preserve">Exit Valuation — Method 1: ARR Multiple</t>
  </si>
  <si>
    <t xml:space="preserve">x ARR</t>
  </si>
  <si>
    <t xml:space="preserve">10x ARR conservative for strategic acquisition</t>
  </si>
  <si>
    <t xml:space="preserve">Exit Valuation — Method 2: Value per Contracted Gate</t>
  </si>
  <si>
    <t xml:space="preserve">Benchmark: telecom tower value; strategic infrastructure premium</t>
  </si>
  <si>
    <t xml:space="preserve">Exit Valuation — Method 3: Strategic Comparable per OBU Vehicle</t>
  </si>
  <si>
    <t xml:space="preserve">$/vehicle</t>
  </si>
  <si>
    <t xml:space="preserve">GM paid ~$1B for Cruise; scale-adjusted strategic floor</t>
  </si>
  <si>
    <t xml:space="preserve">AutoPark — Income Statement (P&amp;L)  |  2026–2032</t>
  </si>
  <si>
    <t xml:space="preserve">Green text = cross-sheet formula from ASSUMPTIONS tab. Blue = hardcoded input. Black = formula.</t>
  </si>
  <si>
    <t xml:space="preserve">◆  Bear Case</t>
  </si>
  <si>
    <t xml:space="preserve">◆  Base Case</t>
  </si>
  <si>
    <t xml:space="preserve">◆  Bull Case</t>
  </si>
  <si>
    <t xml:space="preserve">Year →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</si>
  <si>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</si>
  <si>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</si>
  <si>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</si>
  <si>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</si>
  <si>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</si>
  <si>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</si>
  <si>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</si>
  <si>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REVENUE</t>
  </si>
  <si>
    <t xml:space="preserve">  Net Commission Revenue (35% − Stripe)</t>
  </si>
  <si>
    <t xml:space="preserve">  Free-Lot Convenience Fees</t>
  </si>
  <si>
    <t xml:space="preserve">  OEM SaaS (Phase 2, enrolled vehicles × rate)</t>
  </si>
  <si>
    <t xml:space="preserve">TOTAL REVENUE</t>
  </si>
  <si>
    <t xml:space="preserve">COST OF REVENUE (COGS)</t>
  </si>
  <si>
    <t xml:space="preserve">  RSU Hardware Subsidy (new gates × unit cost)</t>
  </si>
  <si>
    <t xml:space="preserve">  Stripe Processing Fees</t>
  </si>
  <si>
    <t xml:space="preserve">  Cloud Infrastructure (per gate × $85/yr)</t>
  </si>
  <si>
    <t xml:space="preserve">  Parkopedia API (annual)</t>
  </si>
  <si>
    <t xml:space="preserve">TOTAL COGS</t>
  </si>
  <si>
    <t xml:space="preserve">GROSS PROFIT</t>
  </si>
  <si>
    <t xml:space="preserve">  Gross Margin %</t>
  </si>
  <si>
    <t xml:space="preserve">OPERATING EXPENSES</t>
  </si>
  <si>
    <t xml:space="preserve">  Research &amp; Development</t>
  </si>
  <si>
    <t xml:space="preserve">  Sales &amp; Marketing (15% of revenue)</t>
  </si>
  <si>
    <t xml:space="preserve">  General &amp; Administrative</t>
  </si>
  <si>
    <t xml:space="preserve">TOTAL OPEX</t>
  </si>
  <si>
    <t xml:space="preserve">EBITDA (Net Income / Loss)</t>
  </si>
  <si>
    <t xml:space="preserve">  EBITDA Margin %</t>
  </si>
  <si>
    <t xml:space="preserve">CUMULATIVE CASH POSITION (FROM EBITDA PROXY)</t>
  </si>
  <si>
    <t xml:space="preserve">Cumulative EBITDA (cash proxy)</t>
  </si>
  <si>
    <t xml:space="preserve">OPERATING METRICS</t>
  </si>
  <si>
    <t xml:space="preserve">  Cumulative RSU Gates Deployed</t>
  </si>
  <si>
    <t xml:space="preserve">  Annual Parking Transactions</t>
  </si>
  <si>
    <t xml:space="preserve">AutoPark — Monthly J-Curve Cash Flow  (Base Case)  |  Jan 2026 – Dec 2027</t>
  </si>
  <si>
    <t xml:space="preserve">Shows the loss-leader valley (Phase 1 RSU rollout) and break-even inflection point. Based on BASE scenario inputs.</t>
  </si>
  <si>
    <t xml:space="preserve">Month →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</si>
  <si>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</si>
  <si>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</si>
  <si>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</si>
  <si>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</si>
  <si>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</si>
  <si>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</si>
  <si>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</si>
  <si>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</si>
  <si>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</si>
  <si>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</si>
  <si>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</si>
  <si>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</si>
  <si>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</si>
  <si>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</si>
  <si>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</si>
  <si>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</si>
  <si>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</si>
  <si>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</si>
  <si>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</si>
  <si>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</si>
  <si>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</si>
  <si>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</si>
  <si>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</si>
  <si>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</si>
  <si>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ASSUMPTIONS — MONTHLY INPUTS</t>
  </si>
  <si>
    <t xml:space="preserve">Seed Capital Received ($)</t>
  </si>
  <si>
    <t xml:space="preserve">New RSU Gates Added (Base)</t>
  </si>
  <si>
    <t xml:space="preserve">RSU Subsidy Cost/Gate ($)</t>
  </si>
  <si>
    <t xml:space="preserve">Avg Txn/Gate/Day (Base)</t>
  </si>
  <si>
    <t xml:space="preserve">Avg Ticket Price ($)</t>
  </si>
  <si>
    <t xml:space="preserve">MONTHLY P&amp;L</t>
  </si>
  <si>
    <t xml:space="preserve">Cumulative Gates Deployed</t>
  </si>
  <si>
    <t xml:space="preserve">  RSU Hardware Outflow (new gates × cost)</t>
  </si>
  <si>
    <t xml:space="preserve">  Gross Commission Revenue (35%)</t>
  </si>
  <si>
    <t xml:space="preserve">  Operating Costs (Cloud + API + R&amp;D + G&amp;A)</t>
  </si>
  <si>
    <t xml:space="preserve">NET MONTHLY CASH FLOW</t>
  </si>
  <si>
    <t xml:space="preserve">CUMULATIVE CASH POSITION</t>
  </si>
  <si>
    <t xml:space="preserve">Break-Even Status</t>
  </si>
  <si>
    <t xml:space="preserve">AutoPark — Unit Economics</t>
  </si>
  <si>
    <t xml:space="preserve">Per-RSU payback period, LTV/CAC analysis, and platform-level economics. Bear/Base/Bull shown.</t>
  </si>
  <si>
    <t xml:space="preserve">Metric</t>
  </si>
  <si>
    <t xml:space="preserve">Notes</t>
  </si>
  <si>
    <t xml:space="preserve">PER-RSU GATE ECONOMICS — PILOT PHASE</t>
  </si>
  <si>
    <t xml:space="preserve">RSU Hardware Cost (pilot, subsidised 100%)</t>
  </si>
  <si>
    <t xml:space="preserve">Source: Gemini Deep Research validated BOM</t>
  </si>
  <si>
    <t xml:space="preserve">Avg Ticket Price</t>
  </si>
  <si>
    <t xml:space="preserve">$15 base (conservative)</t>
  </si>
  <si>
    <t xml:space="preserve">Gross Commission per Transaction (35%)</t>
  </si>
  <si>
    <t xml:space="preserve">35% of base ticket</t>
  </si>
  <si>
    <t xml:space="preserve">Stripe Fee per Transaction</t>
  </si>
  <si>
    <t xml:space="preserve">$0.30 + 2.9%×ticket×1.1 + $0.02 Radar</t>
  </si>
  <si>
    <t xml:space="preserve">Net Revenue per Transaction</t>
  </si>
  <si>
    <t xml:space="preserve">AutoPark keeps after Stripe</t>
  </si>
  <si>
    <t xml:space="preserve">Transactions per Gate per Day (Bear/Base/Bull)</t>
  </si>
  <si>
    <t xml:space="preserve">2026 assumption; grows to 15/25/40 by 2029</t>
  </si>
  <si>
    <t xml:space="preserve">Net Revenue per Gate per Day</t>
  </si>
  <si>
    <t xml:space="preserve">Key operating metric</t>
  </si>
  <si>
    <t xml:space="preserve">Net Revenue per Gate per Month</t>
  </si>
  <si>
    <t xml:space="preserve">30.5 avg days/month</t>
  </si>
  <si>
    <t xml:space="preserve">Net Revenue per Gate per Year (2026)</t>
  </si>
  <si>
    <t xml:space="preserve">Annualised</t>
  </si>
  <si>
    <t xml:space="preserve">Hardware Payback Period (days)</t>
  </si>
  <si>
    <t xml:space="preserve">Days to recover $401 RSU cost</t>
  </si>
  <si>
    <t xml:space="preserve">Hardware Payback Period (months)</t>
  </si>
  <si>
    <t xml:space="preserve">Key investor metric</t>
  </si>
  <si>
    <t xml:space="preserve">5-Year LTV per RSU Gate</t>
  </si>
  <si>
    <t xml:space="preserve">Simple estimate; grows as txn volume grows</t>
  </si>
  <si>
    <t xml:space="preserve">LTV / Hardware Cost Ratio</t>
  </si>
  <si>
    <t xml:space="preserve">LTV / $401: should be &gt;&gt; 1x</t>
  </si>
  <si>
    <t xml:space="preserve">PER-LOT ECONOMICS (ASSUME 10 GATES PER LOT)</t>
  </si>
  <si>
    <t xml:space="preserve">Gates per Lot (assumed)</t>
  </si>
  <si>
    <t xml:space="preserve">Typical downtown garage</t>
  </si>
  <si>
    <t xml:space="preserve">Lot CAC — Hardware Subsidy</t>
  </si>
  <si>
    <t xml:space="preserve">Gates × $401 RSU cost</t>
  </si>
  <si>
    <t xml:space="preserve">Monthly Net Revenue per Lot</t>
  </si>
  <si>
    <t xml:space="preserve">Gates × monthly net/gate</t>
  </si>
  <si>
    <t xml:space="preserve">Months to Lot Payback</t>
  </si>
  <si>
    <t xml:space="preserve">CAC / monthly net</t>
  </si>
  <si>
    <t xml:space="preserve">Annual Net Revenue per Lot</t>
  </si>
  <si>
    <t xml:space="preserve">Monthly × 12</t>
  </si>
  <si>
    <t xml:space="preserve">5-Year LTV per Lot</t>
  </si>
  <si>
    <t xml:space="preserve">5yr simple LTV</t>
  </si>
  <si>
    <t xml:space="preserve">KEY TAKEAWAYS FOR PITCH</t>
  </si>
  <si>
    <t xml:space="preserve">RSU Payback (Base case)</t>
  </si>
  <si>
    <t xml:space="preserve">~6 days</t>
  </si>
  <si>
    <t xml:space="preserve">Hardware cost recovered in less than one week of operation. One of the strongest unit economics in the infrastructure space.</t>
  </si>
  <si>
    <t xml:space="preserve">LTV:CAC (Base case, 5yr)</t>
  </si>
  <si>
    <t xml:space="preserve">~40:1</t>
  </si>
  <si>
    <t xml:space="preserve">Every $401 invested in an RSU generates ~$16,000 over 5 years at base assumptions. Investors will love this ratio.</t>
  </si>
  <si>
    <t xml:space="preserve">Per-Lot Payback (Base)</t>
  </si>
  <si>
    <t xml:space="preserve">~1 month</t>
  </si>
  <si>
    <t xml:space="preserve">Lot-level investment recovered within 30 days. Eliminates lot operator objection to hardware cost entirely.</t>
  </si>
  <si>
    <t xml:space="preserve">Loss-Leader Justification</t>
  </si>
  <si>
    <t xml:space="preserve">NPV positive</t>
  </si>
  <si>
    <t xml:space="preserve">Even subsidising all RSU hardware, the commission income NPV exceeds the subsidy cost within ~8 months per gate.</t>
  </si>
  <si>
    <t xml:space="preserve">AutoPark — NPV, IRR &amp; Scenario Analysis</t>
  </si>
  <si>
    <t xml:space="preserve">Discounted Cash Flow at 25% WACC. EBITDA used as FCF proxy. Edit ASSUMPTIONS!B65 to change discount rate.</t>
  </si>
  <si>
    <t xml:space="preserve">EBITDA BY YEAR (FROM P&amp;L TAB)</t>
  </si>
  <si>
    <t xml:space="preserve">  EBITDA 2026</t>
  </si>
  <si>
    <t xml:space="preserve">Cross-reference from P&amp;L sheet</t>
  </si>
  <si>
    <t xml:space="preserve">  EBITDA 2027</t>
  </si>
  <si>
    <t xml:space="preserve">  EBITDA 2028</t>
  </si>
  <si>
    <t xml:space="preserve">  EBITDA 2029</t>
  </si>
  <si>
    <t xml:space="preserve">  EBITDA 2030</t>
  </si>
  <si>
    <t xml:space="preserve">  EBITDA 2031</t>
  </si>
  <si>
    <t xml:space="preserve">  EBITDA 2032</t>
  </si>
  <si>
    <t xml:space="preserve">NET PRESENT VALUE ANALYSIS (DISCOUNT RATE = ASSUMPTIONS!B65 = 25%)</t>
  </si>
  <si>
    <t xml:space="preserve">NPV (7-year EBITDA, 25% WACC)</t>
  </si>
  <si>
    <t xml:space="preserve">7-year DCF of EBITDA at 25% startup discount rate.</t>
  </si>
  <si>
    <t xml:space="preserve">IRR (7-year EBITDA stream)</t>
  </si>
  <si>
    <t xml:space="preserve">[Use Excel IRR() on P&amp;L rows 26 cols C-I]</t>
  </si>
  <si>
    <t xml:space="preserve">[Use Excel IRR() on P&amp;L rows 26 cols K-Q]</t>
  </si>
  <si>
    <t xml:space="preserve">[Use Excel IRR() on P&amp;L rows 26 cols S-Y]</t>
  </si>
  <si>
    <t xml:space="preserve">Internal rate of return on the operating cash flow stream.</t>
  </si>
  <si>
    <t xml:space="preserve">SCENARIO COMPARISON DASHBOARD — KEY METRICS AT 2032</t>
  </si>
  <si>
    <t xml:space="preserve">Metric @ 2032</t>
  </si>
  <si>
    <t xml:space="preserve">Total Revenue (2032)</t>
  </si>
  <si>
    <t xml:space="preserve">Annual revenue at full scale</t>
  </si>
  <si>
    <t xml:space="preserve">EBITDA (2032)</t>
  </si>
  <si>
    <t xml:space="preserve">Annual operating profit</t>
  </si>
  <si>
    <t xml:space="preserve">Cumulative RSU Gates</t>
  </si>
  <si>
    <t xml:space="preserve">Total gates deployed across all lots</t>
  </si>
  <si>
    <t xml:space="preserve">Annual Transactions</t>
  </si>
  <si>
    <t xml:space="preserve">Total parking transactions on AutoPark</t>
  </si>
  <si>
    <t xml:space="preserve">SEED ROUND SIZING — WHAT EACH TRANCHE BUYS</t>
  </si>
  <si>
    <t xml:space="preserve">Seed Tranche</t>
  </si>
  <si>
    <t xml:space="preserve">RSU Gates (Base)</t>
  </si>
  <si>
    <t xml:space="preserve">Runway (months)</t>
  </si>
  <si>
    <t xml:space="preserve">First Revenue Month</t>
  </si>
  <si>
    <t xml:space="preserve">Key Milestone Unlocked</t>
  </si>
  <si>
    <t xml:space="preserve">$500k Seed Tranche</t>
  </si>
  <si>
    <t xml:space="preserve">≈14–18</t>
  </si>
  <si>
    <t xml:space="preserve">Month 3</t>
  </si>
  <si>
    <t xml:space="preserve">50 gates across 5 lots; U of T + GreenP pilot LOIs → proof of unit economics</t>
  </si>
  <si>
    <t xml:space="preserve">$1M Seed Tranche</t>
  </si>
  <si>
    <t xml:space="preserve">≈22–26</t>
  </si>
  <si>
    <t xml:space="preserve">Month 2</t>
  </si>
  <si>
    <t xml:space="preserve">100 gates; Toronto-wide launch; Demand Index ML model; first OEM SDK conversation</t>
  </si>
  <si>
    <t xml:space="preserve">$2M Seed Tranche</t>
  </si>
  <si>
    <t xml:space="preserve">≈30–36</t>
  </si>
  <si>
    <t xml:space="preserve">200 gates; two cities; OEM SDK integration with first partner; Series A ready</t>
  </si>
  <si>
    <t xml:space="preserve">AutoPark — Acquisition Valuation (Exit Analysis)</t>
  </si>
  <si>
    <t xml:space="preserve">Three valuation methods for OEM acquisition at 2032. Primary target: GM Canada. Bear/Base/Bull enterprise value.</t>
  </si>
  <si>
    <t xml:space="preserve">Notes / Sources</t>
  </si>
  <si>
    <t xml:space="preserve">METHOD 1 — REVENUE MULTIPLE (10× ARR)</t>
  </si>
  <si>
    <t xml:space="preserve">Annual Recurring Revenue (2032)</t>
  </si>
  <si>
    <t xml:space="preserve">Total revenue at exit year</t>
  </si>
  <si>
    <t xml:space="preserve">ARR Multiple (ASSUMPTIONS!B67)</t>
  </si>
  <si>
    <t xml:space="preserve">10x conservative; strategic acquisitions 12–20x</t>
  </si>
  <si>
    <t xml:space="preserve">Enterprise Value — Method 1</t>
  </si>
  <si>
    <t xml:space="preserve">EV = ARR × multiple</t>
  </si>
  <si>
    <t xml:space="preserve">METHOD 2 — NETWORK VALUE PER CONTRACTED RSU GATE</t>
  </si>
  <si>
    <t xml:space="preserve">Cumulative RSU Gates at Exit (2032)</t>
  </si>
  <si>
    <t xml:space="preserve">Contracted gates = operator network asset</t>
  </si>
  <si>
    <t xml:space="preserve">Strategic Value per Gate (ASSUMPTIONS!B68)</t>
  </si>
  <si>
    <t xml:space="preserve">$50k/gate; cf. telecom tower $50k–$150k; parking infrastructure premium</t>
  </si>
  <si>
    <t xml:space="preserve">Enterprise Value — Method 2</t>
  </si>
  <si>
    <t xml:space="preserve">EV = gates × strategic per-gate value</t>
  </si>
  <si>
    <t xml:space="preserve">METHOD 3 — STRATEGIC COMPARABLE (GM/CRUISE BENCHMARK)</t>
  </si>
  <si>
    <t xml:space="preserve">Enrolled OBU Vehicles at 2032 (Base OEM SaaS)</t>
  </si>
  <si>
    <t xml:space="preserve">Enrolled vehicles (2028 base × 4 years growth)</t>
  </si>
  <si>
    <t xml:space="preserve">Strategic Value per OBU Vehicle (ASSUMPTIONS!B69)</t>
  </si>
  <si>
    <t xml:space="preserve">$2k/vehicle; GM paid ~$1B for Cruise at ~500 vehicles → scale-adjusted floor</t>
  </si>
  <si>
    <t xml:space="preserve">Enterprise Value — Method 3</t>
  </si>
  <si>
    <t xml:space="preserve">EV = enrolled vehicles × strategic value/vehicle</t>
  </si>
  <si>
    <t xml:space="preserve">VALUATION SUMMARY — ENTERPRISE VALUE RANGE AT ACQUISITION (2032)</t>
  </si>
  <si>
    <t xml:space="preserve">Valuation Method</t>
  </si>
  <si>
    <t xml:space="preserve">Bear EV</t>
  </si>
  <si>
    <t xml:space="preserve">Base EV</t>
  </si>
  <si>
    <t xml:space="preserve">Bull EV</t>
  </si>
  <si>
    <t xml:space="preserve">Comments</t>
  </si>
  <si>
    <t xml:space="preserve">Method 1: ARR Multiple (10×)</t>
  </si>
  <si>
    <t xml:space="preserve">Conservative floor — revenue-based</t>
  </si>
  <si>
    <t xml:space="preserve">Method 2: Per-Gate Network ($50k/gate)</t>
  </si>
  <si>
    <t xml:space="preserve">Infrastructure asset-based — most relevant for OEM buyer</t>
  </si>
  <si>
    <t xml:space="preserve">Method 3: Strategic Comparable ($2k/vehicle)</t>
  </si>
  <si>
    <t xml:space="preserve">Strategic platform value — GM/Cruise benchmark</t>
  </si>
  <si>
    <t xml:space="preserve">INVESTOR RETURN WATERFALL — BASE CASE</t>
  </si>
  <si>
    <t xml:space="preserve">$500k Seed</t>
  </si>
  <si>
    <t xml:space="preserve">$1M Seed</t>
  </si>
  <si>
    <t xml:space="preserve">$2M Seed</t>
  </si>
  <si>
    <t xml:space="preserve">Assumed Equity Stake at Seed</t>
  </si>
  <si>
    <t xml:space="preserve">Illustrative — negotiate based on pre-money valuation</t>
  </si>
  <si>
    <t xml:space="preserve">Acquisition EV Used (Base Method 2 = per-gate)</t>
  </si>
  <si>
    <t xml:space="preserve">Using Method 2 (per-gate) as most strategic; edit to change</t>
  </si>
  <si>
    <t xml:space="preserve">Investor Proceeds at Acquisition</t>
  </si>
  <si>
    <t xml:space="preserve">Investor share × acquisition EV</t>
  </si>
  <si>
    <t xml:space="preserve">Investment Multiple (MOIC)</t>
  </si>
  <si>
    <t xml:space="preserve">MOIC = investor proceeds / seed invested. Target: &gt;10x for VC.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</si>
</sst>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%"/>
    <numFmt numFmtId="167" formatCode="\$#,##0;&quot;($&quot;#,##0\);\-"/>
    <numFmt numFmtId="168" formatCode="0%"/>
    <numFmt numFmtId="169" formatCode="0.0%;\(0.0%\);\-"/>
    <numFmt numFmtId="170" formatCode="0.0\x"/>
    <numFmt numFmtId="171" formatCode="#,##0.0&quot; days&quot;;\(#,##0.0\);\-"/>
    <numFmt numFmtId="172" formatCode="0.0"/>
    <numFmt numFmtId="173" formatCode="\$#,##0,\k;&quot;($&quot;#,##0,&quot;k)&quot;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88AACC"/>
      <name val="Arial"/>
      <family val="0"/>
      <charset val="1"/>
    </font>
    <font>
      <sz val="10"/>
      <color rgb="FFAABBD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0087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14325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43256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008788"/>
      <name val="Arial"/>
      <family val="0"/>
      <charset val="1"/>
    </font>
    <font>
      <b val="true"/>
      <sz val="10"/>
      <color rgb="FF143256"/>
      <name val="Arial"/>
      <family val="0"/>
      <charset val="1"/>
    </font>
    <font>
      <b val="true"/>
      <sz val="10"/>
      <color rgb="FF00878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43256"/>
        <bgColor rgb="FF333333"/>
      </patternFill>
    </fill>
    <fill>
      <patternFill patternType="solid">
        <fgColor rgb="FF008788"/>
        <bgColor rgb="FF008080"/>
      </patternFill>
    </fill>
    <fill>
      <patternFill patternType="solid">
        <fgColor rgb="FFF2F4F7"/>
        <bgColor rgb="FFEAFAF1"/>
      </patternFill>
    </fill>
    <fill>
      <patternFill patternType="solid">
        <fgColor rgb="FFFFFFFF"/>
        <bgColor rgb="FFF2F4F7"/>
      </patternFill>
    </fill>
    <fill>
      <patternFill patternType="solid">
        <fgColor rgb="FFFFFF00"/>
        <bgColor rgb="FFFFFF00"/>
      </patternFill>
    </fill>
    <fill>
      <patternFill patternType="solid">
        <fgColor rgb="FFFFE8E8"/>
        <bgColor rgb="FFFFF3E0"/>
      </patternFill>
    </fill>
    <fill>
      <patternFill patternType="solid">
        <fgColor rgb="FFE8F4E8"/>
        <bgColor rgb="FFEAFAF1"/>
      </patternFill>
    </fill>
    <fill>
      <patternFill patternType="solid">
        <fgColor rgb="FFE0EEFF"/>
        <bgColor rgb="FFE8F4E8"/>
      </patternFill>
    </fill>
    <fill>
      <patternFill patternType="solid">
        <fgColor rgb="FFD0D7E2"/>
        <bgColor rgb="FFCCCCCC"/>
      </patternFill>
    </fill>
    <fill>
      <patternFill patternType="solid">
        <fgColor rgb="FFFFF3E0"/>
        <bgColor rgb="FFFFE8E8"/>
      </patternFill>
    </fill>
    <fill>
      <patternFill patternType="solid">
        <fgColor rgb="FFFFD6D6"/>
        <bgColor rgb="FFFFE8E8"/>
      </patternFill>
    </fill>
    <fill>
      <patternFill patternType="solid">
        <fgColor rgb="FFD6F0D6"/>
        <bgColor rgb="FFE8F4E8"/>
      </patternFill>
    </fill>
    <fill>
      <patternFill patternType="solid">
        <fgColor rgb="FFEAFAF1"/>
        <bgColor rgb="FFE8F4E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43256"/>
      </left>
      <right style="medium">
        <color rgb="FF143256"/>
      </right>
      <top style="medium">
        <color rgb="FF143256"/>
      </top>
      <bottom style="medium">
        <color rgb="FF143256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medium">
        <color rgb="FF143256"/>
      </left>
      <right/>
      <top style="medium">
        <color rgb="FF143256"/>
      </top>
      <bottom style="medium">
        <color rgb="FF14325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8"/>
      <rgbColor rgb="FFCCCCCC"/>
      <rgbColor rgb="FF808080"/>
      <rgbColor rgb="FF88AACC"/>
      <rgbColor rgb="FF993366"/>
      <rgbColor rgb="FFFFF3E0"/>
      <rgbColor rgb="FFE0EE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6F0D6"/>
      <rgbColor rgb="FFE8F4E8"/>
      <rgbColor rgb="FFAABBDD"/>
      <rgbColor rgb="FFFFE8E8"/>
      <rgbColor rgb="FFF2F4F7"/>
      <rgbColor rgb="FFFFD6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432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2" hidden="false" customHeight="true" outlineLevel="0" collapsed="false"/>
    <row r="2" customFormat="false" ht="39.7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4" customFormat="false" ht="18" hidden="false" customHeight="true" outlineLevel="0" collapsed="false">
      <c r="B4" s="3" t="s">
        <v>2</v>
      </c>
      <c r="C4" s="3"/>
    </row>
    <row r="5" customFormat="false" ht="7.5" hidden="false" customHeight="true" outlineLevel="0" collapsed="false"/>
    <row r="6" customFormat="false" ht="15" hidden="false" customHeight="false" outlineLevel="0" collapsed="false">
      <c r="B6" s="4" t="s">
        <v>3</v>
      </c>
      <c r="C6" s="4"/>
    </row>
    <row r="7" customFormat="false" ht="19.5" hidden="false" customHeight="true" outlineLevel="0" collapsed="false">
      <c r="B7" s="5" t="s">
        <v>4</v>
      </c>
      <c r="C7" s="6" t="s">
        <v>5</v>
      </c>
    </row>
    <row r="8" customFormat="false" ht="19.5" hidden="false" customHeight="true" outlineLevel="0" collapsed="false">
      <c r="B8" s="5" t="s">
        <v>6</v>
      </c>
      <c r="C8" s="6" t="s">
        <v>7</v>
      </c>
    </row>
    <row r="9" customFormat="false" ht="19.5" hidden="false" customHeight="true" outlineLevel="0" collapsed="false">
      <c r="B9" s="5" t="s">
        <v>8</v>
      </c>
      <c r="C9" s="6" t="s">
        <v>9</v>
      </c>
    </row>
    <row r="10" customFormat="false" ht="19.5" hidden="false" customHeight="true" outlineLevel="0" collapsed="false">
      <c r="B10" s="5" t="s">
        <v>10</v>
      </c>
      <c r="C10" s="6" t="s">
        <v>11</v>
      </c>
    </row>
    <row r="11" customFormat="false" ht="19.5" hidden="false" customHeight="true" outlineLevel="0" collapsed="false">
      <c r="B11" s="5" t="s">
        <v>12</v>
      </c>
      <c r="C11" s="6" t="s">
        <v>13</v>
      </c>
    </row>
    <row r="12" customFormat="false" ht="7.5" hidden="false" customHeight="true" outlineLevel="0" collapsed="false"/>
    <row r="13" customFormat="false" ht="15" hidden="false" customHeight="false" outlineLevel="0" collapsed="false">
      <c r="B13" s="7" t="s">
        <v>14</v>
      </c>
      <c r="C13" s="7"/>
    </row>
    <row r="14" customFormat="false" ht="15.75" hidden="false" customHeight="true" outlineLevel="0" collapsed="false">
      <c r="B14" s="8" t="s">
        <v>15</v>
      </c>
      <c r="C14" s="9" t="s">
        <v>16</v>
      </c>
    </row>
    <row r="15" customFormat="false" ht="15.75" hidden="false" customHeight="true" outlineLevel="0" collapsed="false">
      <c r="B15" s="10" t="s">
        <v>17</v>
      </c>
      <c r="C15" s="9" t="s">
        <v>18</v>
      </c>
    </row>
    <row r="16" customFormat="false" ht="15.75" hidden="false" customHeight="true" outlineLevel="0" collapsed="false">
      <c r="B16" s="11" t="s">
        <v>19</v>
      </c>
      <c r="C16" s="9" t="s">
        <v>20</v>
      </c>
    </row>
    <row r="17" customFormat="false" ht="15.75" hidden="false" customHeight="true" outlineLevel="0" collapsed="false">
      <c r="B17" s="12" t="s">
        <v>21</v>
      </c>
      <c r="C17" s="9" t="s">
        <v>22</v>
      </c>
    </row>
    <row r="18" customFormat="false" ht="15.75" hidden="false" customHeight="true" outlineLevel="0" collapsed="false">
      <c r="B18" s="13" t="s">
        <v>23</v>
      </c>
      <c r="C18" s="9" t="s">
        <v>24</v>
      </c>
    </row>
    <row r="19" customFormat="false" ht="15.75" hidden="false" customHeight="true" outlineLevel="0" collapsed="false">
      <c r="B19" s="14" t="s">
        <v>25</v>
      </c>
      <c r="C19" s="9" t="s">
        <v>26</v>
      </c>
    </row>
    <row r="20" customFormat="false" ht="15.75" hidden="false" customHeight="true" outlineLevel="0" collapsed="false">
      <c r="B20" s="15" t="s">
        <v>27</v>
      </c>
      <c r="C20" s="9" t="s">
        <v>28</v>
      </c>
    </row>
    <row r="21" customFormat="false" ht="7.5" hidden="false" customHeight="true" outlineLevel="0" collapsed="false"/>
    <row r="22" customFormat="false" ht="15" hidden="false" customHeight="false" outlineLevel="0" collapsed="false">
      <c r="B22" s="7" t="s">
        <v>29</v>
      </c>
      <c r="C22" s="7"/>
    </row>
    <row r="23" customFormat="false" ht="18" hidden="false" customHeight="true" outlineLevel="0" collapsed="false">
      <c r="B23" s="16" t="s">
        <v>30</v>
      </c>
      <c r="C23" s="6" t="s">
        <v>31</v>
      </c>
    </row>
    <row r="24" customFormat="false" ht="18" hidden="false" customHeight="true" outlineLevel="0" collapsed="false">
      <c r="B24" s="16" t="s">
        <v>32</v>
      </c>
      <c r="C24" s="6" t="s">
        <v>33</v>
      </c>
    </row>
    <row r="25" customFormat="false" ht="18" hidden="false" customHeight="true" outlineLevel="0" collapsed="false">
      <c r="B25" s="16" t="s">
        <v>34</v>
      </c>
      <c r="C25" s="6" t="s">
        <v>35</v>
      </c>
    </row>
    <row r="26" customFormat="false" ht="18" hidden="false" customHeight="true" outlineLevel="0" collapsed="false">
      <c r="B26" s="16" t="s">
        <v>36</v>
      </c>
      <c r="C26" s="6" t="s">
        <v>37</v>
      </c>
    </row>
    <row r="27" customFormat="false" ht="18" hidden="false" customHeight="true" outlineLevel="0" collapsed="false">
      <c r="B27" s="16" t="s">
        <v>38</v>
      </c>
      <c r="C27" s="6" t="s">
        <v>39</v>
      </c>
    </row>
    <row r="28" customFormat="false" ht="18" hidden="false" customHeight="true" outlineLevel="0" collapsed="false">
      <c r="B28" s="16" t="s">
        <v>40</v>
      </c>
      <c r="C28" s="6" t="s">
        <v>41</v>
      </c>
    </row>
  </sheetData>
  <mergeCells count="6">
    <mergeCell ref="B2:C2"/>
    <mergeCell ref="B3:C3"/>
    <mergeCell ref="B4:C4"/>
    <mergeCell ref="B6:C6"/>
    <mergeCell ref="B13:C13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7" t="s">
        <v>42</v>
      </c>
      <c r="B1" s="17"/>
      <c r="C1" s="17"/>
      <c r="D1" s="17"/>
      <c r="E1" s="17"/>
    </row>
    <row r="2" customFormat="false" ht="15" hidden="false" customHeight="false" outlineLevel="0" collapsed="false">
      <c r="A2" s="18" t="s">
        <v>43</v>
      </c>
      <c r="B2" s="18"/>
      <c r="C2" s="18"/>
      <c r="D2" s="18"/>
      <c r="E2" s="18"/>
    </row>
    <row r="4" customFormat="false" ht="15" hidden="false" customHeight="false" outlineLevel="0" collapsed="false">
      <c r="A4" s="19" t="s">
        <v>44</v>
      </c>
      <c r="B4" s="19"/>
      <c r="C4" s="19"/>
      <c r="D4" s="19"/>
      <c r="E4" s="19"/>
    </row>
    <row r="5" customFormat="false" ht="15" hidden="false" customHeight="false" outlineLevel="0" collapsed="false">
      <c r="A5" s="20" t="s">
        <v>45</v>
      </c>
      <c r="B5" s="21" t="s">
        <v>46</v>
      </c>
      <c r="C5" s="20" t="s">
        <v>47</v>
      </c>
      <c r="D5" s="20" t="s">
        <v>48</v>
      </c>
      <c r="E5" s="20"/>
    </row>
    <row r="6" customFormat="false" ht="15" hidden="false" customHeight="false" outlineLevel="0" collapsed="false">
      <c r="A6" s="22" t="s">
        <v>49</v>
      </c>
      <c r="B6" s="23" t="n">
        <v>15</v>
      </c>
      <c r="C6" s="24" t="s">
        <v>50</v>
      </c>
      <c r="D6" s="25" t="s">
        <v>51</v>
      </c>
      <c r="E6" s="25"/>
    </row>
    <row r="7" customFormat="false" ht="15" hidden="false" customHeight="false" outlineLevel="0" collapsed="false">
      <c r="A7" s="26" t="s">
        <v>52</v>
      </c>
      <c r="B7" s="27" t="n">
        <v>20</v>
      </c>
      <c r="C7" s="24" t="s">
        <v>50</v>
      </c>
      <c r="D7" s="25" t="s">
        <v>53</v>
      </c>
      <c r="E7" s="25"/>
    </row>
    <row r="8" customFormat="false" ht="15" hidden="false" customHeight="false" outlineLevel="0" collapsed="false">
      <c r="A8" s="26" t="s">
        <v>54</v>
      </c>
      <c r="B8" s="28" t="n">
        <v>0.35</v>
      </c>
      <c r="C8" s="24" t="s">
        <v>55</v>
      </c>
      <c r="D8" s="25" t="s">
        <v>56</v>
      </c>
      <c r="E8" s="25"/>
    </row>
    <row r="9" customFormat="false" ht="15" hidden="false" customHeight="false" outlineLevel="0" collapsed="false">
      <c r="A9" s="26" t="s">
        <v>57</v>
      </c>
      <c r="B9" s="28" t="n">
        <v>0.029</v>
      </c>
      <c r="C9" s="24" t="s">
        <v>55</v>
      </c>
      <c r="D9" s="25" t="s">
        <v>58</v>
      </c>
      <c r="E9" s="25"/>
    </row>
    <row r="10" customFormat="false" ht="15" hidden="false" customHeight="false" outlineLevel="0" collapsed="false">
      <c r="A10" s="26" t="s">
        <v>59</v>
      </c>
      <c r="B10" s="28" t="n">
        <v>0.3</v>
      </c>
      <c r="C10" s="24" t="s">
        <v>60</v>
      </c>
      <c r="D10" s="25" t="s">
        <v>58</v>
      </c>
      <c r="E10" s="25"/>
    </row>
    <row r="11" customFormat="false" ht="15" hidden="false" customHeight="false" outlineLevel="0" collapsed="false">
      <c r="A11" s="26" t="s">
        <v>61</v>
      </c>
      <c r="B11" s="28" t="n">
        <v>0.02</v>
      </c>
      <c r="C11" s="24" t="s">
        <v>60</v>
      </c>
      <c r="D11" s="25" t="s">
        <v>62</v>
      </c>
      <c r="E11" s="25"/>
    </row>
    <row r="12" customFormat="false" ht="15" hidden="false" customHeight="false" outlineLevel="0" collapsed="false">
      <c r="A12" s="26" t="s">
        <v>63</v>
      </c>
      <c r="B12" s="28" t="n">
        <v>0.74</v>
      </c>
      <c r="C12" s="24" t="s">
        <v>50</v>
      </c>
      <c r="D12" s="25" t="s">
        <v>64</v>
      </c>
      <c r="E12" s="25"/>
    </row>
    <row r="13" customFormat="false" ht="15" hidden="false" customHeight="false" outlineLevel="0" collapsed="false">
      <c r="A13" s="26" t="s">
        <v>65</v>
      </c>
      <c r="B13" s="28" t="n">
        <v>0.12</v>
      </c>
      <c r="C13" s="24" t="s">
        <v>55</v>
      </c>
      <c r="D13" s="25" t="s">
        <v>66</v>
      </c>
      <c r="E13" s="25"/>
    </row>
    <row r="14" customFormat="false" ht="15" hidden="false" customHeight="false" outlineLevel="0" collapsed="false">
      <c r="A14" s="26" t="s">
        <v>67</v>
      </c>
      <c r="B14" s="27" t="n">
        <v>365</v>
      </c>
      <c r="C14" s="24" t="s">
        <v>68</v>
      </c>
      <c r="D14" s="25" t="s">
        <v>69</v>
      </c>
      <c r="E14" s="25"/>
    </row>
    <row r="15" customFormat="false" ht="15" hidden="false" customHeight="false" outlineLevel="0" collapsed="false">
      <c r="A15" s="22" t="s">
        <v>70</v>
      </c>
      <c r="B15" s="23" t="n">
        <v>2028</v>
      </c>
      <c r="C15" s="24" t="s">
        <v>71</v>
      </c>
      <c r="D15" s="25" t="s">
        <v>72</v>
      </c>
      <c r="E15" s="25"/>
    </row>
    <row r="17" customFormat="false" ht="15" hidden="false" customHeight="false" outlineLevel="0" collapsed="false">
      <c r="A17" s="19" t="s">
        <v>73</v>
      </c>
      <c r="B17" s="19"/>
      <c r="C17" s="19"/>
      <c r="D17" s="19"/>
      <c r="E17" s="19"/>
    </row>
    <row r="18" customFormat="false" ht="15" hidden="false" customHeight="false" outlineLevel="0" collapsed="false">
      <c r="A18" s="20" t="s">
        <v>74</v>
      </c>
      <c r="B18" s="29" t="s">
        <v>75</v>
      </c>
      <c r="C18" s="30" t="s">
        <v>76</v>
      </c>
      <c r="D18" s="31" t="s">
        <v>77</v>
      </c>
      <c r="E18" s="20" t="s">
        <v>48</v>
      </c>
    </row>
    <row r="19" customFormat="false" ht="15" hidden="false" customHeight="false" outlineLevel="0" collapsed="false">
      <c r="A19" s="32" t="n">
        <v>2026</v>
      </c>
      <c r="B19" s="33" t="n">
        <v>50</v>
      </c>
      <c r="C19" s="34" t="n">
        <v>100</v>
      </c>
      <c r="D19" s="35" t="n">
        <v>200</v>
      </c>
      <c r="E19" s="36" t="s">
        <v>78</v>
      </c>
    </row>
    <row r="20" customFormat="false" ht="15" hidden="false" customHeight="false" outlineLevel="0" collapsed="false">
      <c r="A20" s="32" t="n">
        <v>2027</v>
      </c>
      <c r="B20" s="33" t="n">
        <v>100</v>
      </c>
      <c r="C20" s="34" t="n">
        <v>200</v>
      </c>
      <c r="D20" s="35" t="n">
        <v>400</v>
      </c>
      <c r="E20" s="36" t="s">
        <v>79</v>
      </c>
    </row>
    <row r="21" customFormat="false" ht="15" hidden="false" customHeight="false" outlineLevel="0" collapsed="false">
      <c r="A21" s="32" t="n">
        <v>2028</v>
      </c>
      <c r="B21" s="33" t="n">
        <v>75</v>
      </c>
      <c r="C21" s="34" t="n">
        <v>150</v>
      </c>
      <c r="D21" s="35" t="n">
        <v>300</v>
      </c>
      <c r="E21" s="36" t="s">
        <v>80</v>
      </c>
    </row>
    <row r="22" customFormat="false" ht="15" hidden="false" customHeight="false" outlineLevel="0" collapsed="false">
      <c r="A22" s="32" t="n">
        <v>2029</v>
      </c>
      <c r="B22" s="33" t="n">
        <v>50</v>
      </c>
      <c r="C22" s="34" t="n">
        <v>100</v>
      </c>
      <c r="D22" s="35" t="n">
        <v>200</v>
      </c>
      <c r="E22" s="36" t="s">
        <v>81</v>
      </c>
    </row>
    <row r="23" customFormat="false" ht="15" hidden="false" customHeight="false" outlineLevel="0" collapsed="false">
      <c r="A23" s="32" t="n">
        <v>2030</v>
      </c>
      <c r="B23" s="33" t="n">
        <v>50</v>
      </c>
      <c r="C23" s="34" t="n">
        <v>100</v>
      </c>
      <c r="D23" s="35" t="n">
        <v>200</v>
      </c>
      <c r="E23" s="36" t="s">
        <v>82</v>
      </c>
    </row>
    <row r="24" customFormat="false" ht="15" hidden="false" customHeight="false" outlineLevel="0" collapsed="false">
      <c r="A24" s="32" t="n">
        <v>2031</v>
      </c>
      <c r="B24" s="33" t="n">
        <v>25</v>
      </c>
      <c r="C24" s="34" t="n">
        <v>75</v>
      </c>
      <c r="D24" s="35" t="n">
        <v>150</v>
      </c>
      <c r="E24" s="36" t="s">
        <v>83</v>
      </c>
    </row>
    <row r="25" customFormat="false" ht="15" hidden="false" customHeight="false" outlineLevel="0" collapsed="false">
      <c r="A25" s="32" t="n">
        <v>2032</v>
      </c>
      <c r="B25" s="33" t="n">
        <v>25</v>
      </c>
      <c r="C25" s="34" t="n">
        <v>75</v>
      </c>
      <c r="D25" s="35" t="n">
        <v>150</v>
      </c>
      <c r="E25" s="36" t="s">
        <v>84</v>
      </c>
    </row>
    <row r="27" customFormat="false" ht="15" hidden="false" customHeight="false" outlineLevel="0" collapsed="false">
      <c r="A27" s="19" t="s">
        <v>85</v>
      </c>
      <c r="B27" s="19"/>
      <c r="C27" s="19"/>
      <c r="D27" s="19"/>
      <c r="E27" s="19"/>
    </row>
    <row r="28" customFormat="false" ht="15" hidden="false" customHeight="false" outlineLevel="0" collapsed="false">
      <c r="A28" s="20" t="s">
        <v>74</v>
      </c>
      <c r="B28" s="29" t="s">
        <v>75</v>
      </c>
      <c r="C28" s="30" t="s">
        <v>76</v>
      </c>
      <c r="D28" s="31" t="s">
        <v>77</v>
      </c>
      <c r="E28" s="20" t="s">
        <v>48</v>
      </c>
    </row>
    <row r="29" customFormat="false" ht="15" hidden="false" customHeight="false" outlineLevel="0" collapsed="false">
      <c r="A29" s="32" t="n">
        <v>2026</v>
      </c>
      <c r="B29" s="33" t="n">
        <v>8</v>
      </c>
      <c r="C29" s="34" t="n">
        <v>15</v>
      </c>
      <c r="D29" s="35" t="n">
        <v>25</v>
      </c>
      <c r="E29" s="36" t="s">
        <v>86</v>
      </c>
    </row>
    <row r="30" customFormat="false" ht="15" hidden="false" customHeight="false" outlineLevel="0" collapsed="false">
      <c r="A30" s="32" t="n">
        <v>2027</v>
      </c>
      <c r="B30" s="33" t="n">
        <v>10</v>
      </c>
      <c r="C30" s="34" t="n">
        <v>18</v>
      </c>
      <c r="D30" s="35" t="n">
        <v>30</v>
      </c>
      <c r="E30" s="36" t="s">
        <v>87</v>
      </c>
    </row>
    <row r="31" customFormat="false" ht="15" hidden="false" customHeight="false" outlineLevel="0" collapsed="false">
      <c r="A31" s="32" t="n">
        <v>2028</v>
      </c>
      <c r="B31" s="33" t="n">
        <v>12</v>
      </c>
      <c r="C31" s="34" t="n">
        <v>22</v>
      </c>
      <c r="D31" s="35" t="n">
        <v>35</v>
      </c>
      <c r="E31" s="36" t="s">
        <v>88</v>
      </c>
    </row>
    <row r="32" customFormat="false" ht="15" hidden="false" customHeight="false" outlineLevel="0" collapsed="false">
      <c r="A32" s="32" t="n">
        <v>2029</v>
      </c>
      <c r="B32" s="33" t="n">
        <v>15</v>
      </c>
      <c r="C32" s="34" t="n">
        <v>25</v>
      </c>
      <c r="D32" s="35" t="n">
        <v>40</v>
      </c>
      <c r="E32" s="36" t="s">
        <v>89</v>
      </c>
    </row>
    <row r="33" customFormat="false" ht="15" hidden="false" customHeight="false" outlineLevel="0" collapsed="false">
      <c r="A33" s="32" t="n">
        <v>2030</v>
      </c>
      <c r="B33" s="33" t="n">
        <v>15</v>
      </c>
      <c r="C33" s="34" t="n">
        <v>25</v>
      </c>
      <c r="D33" s="35" t="n">
        <v>40</v>
      </c>
      <c r="E33" s="36" t="s">
        <v>90</v>
      </c>
    </row>
    <row r="34" customFormat="false" ht="15" hidden="false" customHeight="false" outlineLevel="0" collapsed="false">
      <c r="A34" s="32" t="n">
        <v>2031</v>
      </c>
      <c r="B34" s="33" t="n">
        <v>15</v>
      </c>
      <c r="C34" s="34" t="n">
        <v>25</v>
      </c>
      <c r="D34" s="35" t="n">
        <v>40</v>
      </c>
      <c r="E34" s="36" t="s">
        <v>90</v>
      </c>
    </row>
    <row r="35" customFormat="false" ht="15" hidden="false" customHeight="false" outlineLevel="0" collapsed="false">
      <c r="A35" s="32" t="n">
        <v>2032</v>
      </c>
      <c r="B35" s="33" t="n">
        <v>15</v>
      </c>
      <c r="C35" s="34" t="n">
        <v>25</v>
      </c>
      <c r="D35" s="35" t="n">
        <v>40</v>
      </c>
      <c r="E35" s="36" t="s">
        <v>90</v>
      </c>
    </row>
    <row r="37" customFormat="false" ht="15" hidden="false" customHeight="false" outlineLevel="0" collapsed="false">
      <c r="A37" s="19" t="s">
        <v>91</v>
      </c>
      <c r="B37" s="19"/>
      <c r="C37" s="19"/>
      <c r="D37" s="19"/>
      <c r="E37" s="19"/>
    </row>
    <row r="38" customFormat="false" ht="15" hidden="false" customHeight="false" outlineLevel="0" collapsed="false">
      <c r="A38" s="20" t="s">
        <v>45</v>
      </c>
      <c r="B38" s="21" t="s">
        <v>46</v>
      </c>
      <c r="C38" s="20" t="s">
        <v>47</v>
      </c>
      <c r="D38" s="20" t="s">
        <v>92</v>
      </c>
      <c r="E38" s="20"/>
    </row>
    <row r="39" customFormat="false" ht="15" hidden="false" customHeight="false" outlineLevel="0" collapsed="false">
      <c r="A39" s="22" t="s">
        <v>93</v>
      </c>
      <c r="B39" s="37" t="n">
        <v>401</v>
      </c>
      <c r="C39" s="24" t="s">
        <v>94</v>
      </c>
      <c r="D39" s="25" t="s">
        <v>95</v>
      </c>
      <c r="E39" s="25"/>
    </row>
    <row r="40" customFormat="false" ht="15" hidden="false" customHeight="false" outlineLevel="0" collapsed="false">
      <c r="A40" s="26" t="s">
        <v>96</v>
      </c>
      <c r="B40" s="38" t="n">
        <v>235</v>
      </c>
      <c r="C40" s="24" t="s">
        <v>94</v>
      </c>
      <c r="D40" s="25" t="s">
        <v>97</v>
      </c>
      <c r="E40" s="25"/>
    </row>
    <row r="41" customFormat="false" ht="15" hidden="false" customHeight="false" outlineLevel="0" collapsed="false">
      <c r="A41" s="26" t="s">
        <v>98</v>
      </c>
      <c r="B41" s="38" t="n">
        <v>200</v>
      </c>
      <c r="C41" s="24" t="s">
        <v>99</v>
      </c>
      <c r="D41" s="25" t="s">
        <v>100</v>
      </c>
      <c r="E41" s="25"/>
    </row>
    <row r="42" customFormat="false" ht="15" hidden="false" customHeight="false" outlineLevel="0" collapsed="false">
      <c r="A42" s="26" t="s">
        <v>101</v>
      </c>
      <c r="B42" s="38" t="n">
        <v>739</v>
      </c>
      <c r="C42" s="24" t="s">
        <v>102</v>
      </c>
      <c r="D42" s="25" t="s">
        <v>103</v>
      </c>
      <c r="E42" s="25"/>
    </row>
    <row r="43" customFormat="false" ht="15" hidden="false" customHeight="false" outlineLevel="0" collapsed="false">
      <c r="A43" s="26" t="s">
        <v>104</v>
      </c>
      <c r="B43" s="38" t="n">
        <v>204</v>
      </c>
      <c r="C43" s="24" t="s">
        <v>102</v>
      </c>
      <c r="D43" s="25" t="s">
        <v>105</v>
      </c>
      <c r="E43" s="25"/>
    </row>
    <row r="44" customFormat="false" ht="15" hidden="false" customHeight="false" outlineLevel="0" collapsed="false">
      <c r="A44" s="22" t="s">
        <v>106</v>
      </c>
      <c r="B44" s="39" t="n">
        <v>0</v>
      </c>
      <c r="C44" s="24" t="s">
        <v>55</v>
      </c>
      <c r="D44" s="25" t="s">
        <v>107</v>
      </c>
      <c r="E44" s="25"/>
    </row>
    <row r="46" customFormat="false" ht="15" hidden="false" customHeight="false" outlineLevel="0" collapsed="false">
      <c r="A46" s="19" t="s">
        <v>108</v>
      </c>
      <c r="B46" s="19"/>
      <c r="C46" s="19"/>
      <c r="D46" s="19"/>
      <c r="E46" s="19"/>
    </row>
    <row r="47" customFormat="false" ht="15" hidden="false" customHeight="false" outlineLevel="0" collapsed="false">
      <c r="A47" s="20" t="s">
        <v>45</v>
      </c>
      <c r="B47" s="21" t="s">
        <v>46</v>
      </c>
      <c r="C47" s="20" t="s">
        <v>47</v>
      </c>
      <c r="D47" s="20" t="s">
        <v>48</v>
      </c>
      <c r="E47" s="20"/>
    </row>
    <row r="48" customFormat="false" ht="15" hidden="false" customHeight="false" outlineLevel="0" collapsed="false">
      <c r="A48" s="40" t="s">
        <v>109</v>
      </c>
      <c r="B48" s="38" t="n">
        <v>85</v>
      </c>
      <c r="C48" s="24" t="s">
        <v>110</v>
      </c>
      <c r="D48" s="25" t="s">
        <v>111</v>
      </c>
      <c r="E48" s="25"/>
    </row>
    <row r="49" customFormat="false" ht="15" hidden="false" customHeight="false" outlineLevel="0" collapsed="false">
      <c r="A49" s="40" t="s">
        <v>112</v>
      </c>
      <c r="B49" s="38" t="n">
        <v>14400</v>
      </c>
      <c r="C49" s="24" t="s">
        <v>113</v>
      </c>
      <c r="D49" s="25" t="s">
        <v>114</v>
      </c>
      <c r="E49" s="25"/>
    </row>
    <row r="50" customFormat="false" ht="15" hidden="false" customHeight="false" outlineLevel="0" collapsed="false">
      <c r="A50" s="40" t="s">
        <v>115</v>
      </c>
      <c r="B50" s="38" t="n">
        <v>15000</v>
      </c>
      <c r="C50" s="24" t="s">
        <v>113</v>
      </c>
      <c r="D50" s="25" t="s">
        <v>116</v>
      </c>
      <c r="E50" s="25"/>
    </row>
    <row r="51" customFormat="false" ht="15" hidden="false" customHeight="false" outlineLevel="0" collapsed="false">
      <c r="A51" s="40" t="s">
        <v>117</v>
      </c>
      <c r="B51" s="38" t="n">
        <v>285000</v>
      </c>
      <c r="C51" s="24" t="s">
        <v>113</v>
      </c>
      <c r="D51" s="25" t="s">
        <v>118</v>
      </c>
      <c r="E51" s="25"/>
    </row>
    <row r="52" customFormat="false" ht="15" hidden="false" customHeight="false" outlineLevel="0" collapsed="false">
      <c r="A52" s="40" t="s">
        <v>119</v>
      </c>
      <c r="B52" s="38" t="n">
        <v>520000</v>
      </c>
      <c r="C52" s="24" t="s">
        <v>113</v>
      </c>
      <c r="D52" s="25" t="s">
        <v>120</v>
      </c>
      <c r="E52" s="25"/>
    </row>
    <row r="53" customFormat="false" ht="15" hidden="false" customHeight="false" outlineLevel="0" collapsed="false">
      <c r="A53" s="40" t="s">
        <v>121</v>
      </c>
      <c r="B53" s="38" t="n">
        <v>600000</v>
      </c>
      <c r="C53" s="24" t="s">
        <v>113</v>
      </c>
      <c r="D53" s="25" t="s">
        <v>122</v>
      </c>
      <c r="E53" s="25"/>
    </row>
    <row r="54" customFormat="false" ht="15" hidden="false" customHeight="false" outlineLevel="0" collapsed="false">
      <c r="A54" s="40" t="s">
        <v>123</v>
      </c>
      <c r="B54" s="41" t="n">
        <v>0.15</v>
      </c>
      <c r="C54" s="24" t="s">
        <v>55</v>
      </c>
      <c r="D54" s="25" t="s">
        <v>124</v>
      </c>
      <c r="E54" s="25"/>
    </row>
    <row r="55" customFormat="false" ht="15" hidden="false" customHeight="false" outlineLevel="0" collapsed="false">
      <c r="A55" s="40" t="s">
        <v>125</v>
      </c>
      <c r="B55" s="38" t="n">
        <v>50000</v>
      </c>
      <c r="C55" s="24" t="s">
        <v>113</v>
      </c>
      <c r="D55" s="25" t="s">
        <v>126</v>
      </c>
      <c r="E55" s="25"/>
    </row>
    <row r="57" customFormat="false" ht="15" hidden="false" customHeight="false" outlineLevel="0" collapsed="false">
      <c r="A57" s="19" t="s">
        <v>127</v>
      </c>
      <c r="B57" s="19"/>
      <c r="C57" s="19"/>
      <c r="D57" s="19"/>
      <c r="E57" s="19"/>
    </row>
    <row r="58" customFormat="false" ht="15" hidden="false" customHeight="false" outlineLevel="0" collapsed="false">
      <c r="A58" s="20" t="s">
        <v>45</v>
      </c>
      <c r="B58" s="29" t="s">
        <v>75</v>
      </c>
      <c r="C58" s="30" t="s">
        <v>76</v>
      </c>
      <c r="D58" s="31" t="s">
        <v>77</v>
      </c>
      <c r="E58" s="20" t="s">
        <v>48</v>
      </c>
    </row>
    <row r="59" customFormat="false" ht="15" hidden="false" customHeight="false" outlineLevel="0" collapsed="false">
      <c r="A59" s="26" t="s">
        <v>128</v>
      </c>
      <c r="B59" s="42" t="n">
        <v>25</v>
      </c>
      <c r="C59" s="43" t="n">
        <v>40</v>
      </c>
      <c r="D59" s="44" t="n">
        <v>75</v>
      </c>
      <c r="E59" s="36" t="s">
        <v>129</v>
      </c>
    </row>
    <row r="60" customFormat="false" ht="15" hidden="false" customHeight="false" outlineLevel="0" collapsed="false">
      <c r="A60" s="26" t="s">
        <v>130</v>
      </c>
      <c r="B60" s="42" t="n">
        <v>5</v>
      </c>
      <c r="C60" s="43" t="n">
        <v>10</v>
      </c>
      <c r="D60" s="44" t="n">
        <v>20</v>
      </c>
      <c r="E60" s="36" t="s">
        <v>131</v>
      </c>
    </row>
    <row r="61" customFormat="false" ht="15" hidden="false" customHeight="false" outlineLevel="0" collapsed="false">
      <c r="A61" s="26" t="s">
        <v>132</v>
      </c>
      <c r="B61" s="45" t="n">
        <v>0.2</v>
      </c>
      <c r="C61" s="46" t="n">
        <v>0.4</v>
      </c>
      <c r="D61" s="47" t="n">
        <v>0.6</v>
      </c>
      <c r="E61" s="36" t="s">
        <v>133</v>
      </c>
    </row>
    <row r="63" customFormat="false" ht="15" hidden="false" customHeight="false" outlineLevel="0" collapsed="false">
      <c r="A63" s="19" t="s">
        <v>134</v>
      </c>
      <c r="B63" s="19"/>
      <c r="C63" s="19"/>
      <c r="D63" s="19"/>
      <c r="E63" s="19"/>
    </row>
    <row r="64" customFormat="false" ht="15" hidden="false" customHeight="false" outlineLevel="0" collapsed="false">
      <c r="A64" s="20" t="s">
        <v>45</v>
      </c>
      <c r="B64" s="21" t="s">
        <v>46</v>
      </c>
      <c r="C64" s="20" t="s">
        <v>47</v>
      </c>
      <c r="D64" s="20" t="s">
        <v>48</v>
      </c>
      <c r="E64" s="20"/>
    </row>
    <row r="65" customFormat="false" ht="15" hidden="false" customHeight="false" outlineLevel="0" collapsed="false">
      <c r="A65" s="26" t="s">
        <v>135</v>
      </c>
      <c r="B65" s="41" t="n">
        <v>0.25</v>
      </c>
      <c r="C65" s="24" t="s">
        <v>55</v>
      </c>
      <c r="D65" s="25" t="s">
        <v>136</v>
      </c>
      <c r="E65" s="25"/>
    </row>
    <row r="66" customFormat="false" ht="15" hidden="false" customHeight="false" outlineLevel="0" collapsed="false">
      <c r="A66" s="26" t="s">
        <v>137</v>
      </c>
      <c r="B66" s="38" t="n">
        <v>2032</v>
      </c>
      <c r="C66" s="24" t="s">
        <v>71</v>
      </c>
      <c r="D66" s="25" t="s">
        <v>138</v>
      </c>
      <c r="E66" s="25"/>
    </row>
    <row r="67" customFormat="false" ht="15" hidden="false" customHeight="false" outlineLevel="0" collapsed="false">
      <c r="A67" s="26" t="s">
        <v>139</v>
      </c>
      <c r="B67" s="48" t="n">
        <v>10</v>
      </c>
      <c r="C67" s="24" t="s">
        <v>140</v>
      </c>
      <c r="D67" s="25" t="s">
        <v>141</v>
      </c>
      <c r="E67" s="25"/>
    </row>
    <row r="68" customFormat="false" ht="15" hidden="false" customHeight="false" outlineLevel="0" collapsed="false">
      <c r="A68" s="26" t="s">
        <v>142</v>
      </c>
      <c r="B68" s="38" t="n">
        <v>50000</v>
      </c>
      <c r="C68" s="24" t="s">
        <v>94</v>
      </c>
      <c r="D68" s="25" t="s">
        <v>143</v>
      </c>
      <c r="E68" s="25"/>
    </row>
    <row r="69" customFormat="false" ht="15" hidden="false" customHeight="false" outlineLevel="0" collapsed="false">
      <c r="A69" s="26" t="s">
        <v>144</v>
      </c>
      <c r="B69" s="48" t="n">
        <v>2000</v>
      </c>
      <c r="C69" s="24" t="s">
        <v>145</v>
      </c>
      <c r="D69" s="25" t="s">
        <v>146</v>
      </c>
      <c r="E69" s="25"/>
    </row>
  </sheetData>
  <mergeCells count="42">
    <mergeCell ref="A1:E1"/>
    <mergeCell ref="A2:E2"/>
    <mergeCell ref="A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7:E17"/>
    <mergeCell ref="A27:E27"/>
    <mergeCell ref="A37:E37"/>
    <mergeCell ref="D38:E38"/>
    <mergeCell ref="D39:E39"/>
    <mergeCell ref="D40:E40"/>
    <mergeCell ref="D41:E41"/>
    <mergeCell ref="D42:E42"/>
    <mergeCell ref="D43:E43"/>
    <mergeCell ref="D44:E44"/>
    <mergeCell ref="A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A57:E57"/>
    <mergeCell ref="A63:E63"/>
    <mergeCell ref="D64:E64"/>
    <mergeCell ref="D65:E65"/>
    <mergeCell ref="D66:E66"/>
    <mergeCell ref="D67:E67"/>
    <mergeCell ref="D68:E68"/>
    <mergeCell ref="D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"/>
    <col collapsed="false" customWidth="true" hidden="false" outlineLevel="0" max="9" min="3" style="0" width="12"/>
    <col collapsed="false" customWidth="true" hidden="false" outlineLevel="0" max="10" min="10" style="0" width="2"/>
    <col collapsed="false" customWidth="true" hidden="false" outlineLevel="0" max="17" min="11" style="0" width="12"/>
    <col collapsed="false" customWidth="true" hidden="false" outlineLevel="0" max="18" min="18" style="0" width="2"/>
    <col collapsed="false" customWidth="true" hidden="false" outlineLevel="0" max="25" min="19" style="0" width="12"/>
  </cols>
  <sheetData>
    <row r="1" customFormat="false" ht="15" hidden="false" customHeight="false" outlineLevel="0" collapsed="false">
      <c r="A1" s="17" t="s">
        <v>147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customFormat="false" ht="15" hidden="false" customHeight="false" outlineLevel="0" collapsed="false">
      <c r="A2" s="18" t="s">
        <v>148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4" customFormat="false" ht="15" hidden="false" customHeight="false" outlineLevel="0" collapsed="false">
      <c r="C4" s="49" t="s">
        <v>149</v>
      </c>
      <c r="D4" s="49"/>
      <c r="E4" s="49"/>
      <c r="F4" s="49"/>
      <c r="G4" s="49"/>
      <c r="H4" s="49"/>
      <c r="I4" s="49"/>
      <c r="K4" s="50" t="s">
        <v>150</v>
      </c>
      <c r="L4" s="50"/>
      <c r="M4" s="50"/>
      <c r="N4" s="50"/>
      <c r="O4" s="50"/>
      <c r="P4" s="50"/>
      <c r="Q4" s="50"/>
      <c r="S4" s="51" t="s">
        <v>151</v>
      </c>
      <c r="T4" s="51"/>
      <c r="U4" s="51"/>
      <c r="V4" s="51"/>
      <c r="W4" s="51"/>
      <c r="X4" s="51"/>
      <c r="Y4" s="51"/>
    </row>
    <row r="5" customFormat="false" ht="15" hidden="false" customHeight="false" outlineLevel="0" collapsed="false">
      <c r="A5" s="32" t="s">
        <v>152</v>
      </c>
      <c r="C5" s="52" t="s">
        <v>153</v>
      </c>
      <c r="D5" s="52" t="s">
        <v>154</v>
      </c>
      <c r="E5" s="52" t="s">
        <v>155</v>
      </c>
      <c r="F5" s="52" t="s">
        <v>156</v>
      </c>
      <c r="G5" s="52" t="s">
        <v>157</v>
      </c>
      <c r="H5" s="52" t="s">
        <v>158</v>
      </c>
      <c r="I5" s="52" t="s">
        <v>159</v>
      </c>
      <c r="K5" s="53" t="s">
        <v>153</v>
      </c>
      <c r="L5" s="53" t="s">
        <v>154</v>
      </c>
      <c r="M5" s="53" t="s">
        <v>155</v>
      </c>
      <c r="N5" s="53" t="s">
        <v>156</v>
      </c>
      <c r="O5" s="53" t="s">
        <v>157</v>
      </c>
      <c r="P5" s="53" t="s">
        <v>158</v>
      </c>
      <c r="Q5" s="53" t="s">
        <v>159</v>
      </c>
      <c r="S5" s="54" t="s">
        <v>153</v>
      </c>
      <c r="T5" s="54" t="s">
        <v>154</v>
      </c>
      <c r="U5" s="54" t="s">
        <v>155</v>
      </c>
      <c r="V5" s="54" t="s">
        <v>156</v>
      </c>
      <c r="W5" s="54" t="s">
        <v>157</v>
      </c>
      <c r="X5" s="54" t="s">
        <v>158</v>
      </c>
      <c r="Y5" s="54" t="s">
        <v>159</v>
      </c>
    </row>
    <row r="6" customFormat="false" ht="15" hidden="false" customHeight="false" outlineLevel="0" collapsed="false">
      <c r="A6" s="19" t="s">
        <v>160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customFormat="false" ht="15" hidden="false" customHeight="false" outlineLevel="0" collapsed="false">
      <c r="A7" s="55" t="s">
        <v>161</v>
      </c>
      <c r="C7" s="56" t="n">
        <f aca="false">((ASSUMPTIONS!B19)*ASSUMPTIONS!B29*ASSUMPTIONS!B14*ASSUMPTIONS!B6*ASSUMPTIONS!B8)-((ASSUMPTIONS!B19)*ASSUMPTIONS!B29*ASSUMPTIONS!B14*(ASSUMPTIONS!B10+ASSUMPTIONS!B9*ASSUMPTIONS!B6*1.1+ASSUMPTIONS!B11))</f>
        <v>649919</v>
      </c>
      <c r="D7" s="56" t="n">
        <f aca="false">((ASSUMPTIONS!B19+ASSUMPTIONS!B20)*ASSUMPTIONS!B30*ASSUMPTIONS!B14*ASSUMPTIONS!B6*ASSUMPTIONS!B8)-((ASSUMPTIONS!B19+ASSUMPTIONS!B20)*ASSUMPTIONS!B30*ASSUMPTIONS!B14*(ASSUMPTIONS!B10+ASSUMPTIONS!B9*ASSUMPTIONS!B6*1.1+ASSUMPTIONS!B11))</f>
        <v>2437196.25</v>
      </c>
      <c r="E7" s="56" t="n">
        <f aca="false">((ASSUMPTIONS!B19+ASSUMPTIONS!B20+ASSUMPTIONS!B21)*ASSUMPTIONS!B31*ASSUMPTIONS!B14*ASSUMPTIONS!B7*ASSUMPTIONS!B8)-((ASSUMPTIONS!B19+ASSUMPTIONS!B20+ASSUMPTIONS!B21)*ASSUMPTIONS!B31*ASSUMPTIONS!B14*(ASSUMPTIONS!B10+ASSUMPTIONS!B9*ASSUMPTIONS!B7*1.1+ASSUMPTIONS!B11))</f>
        <v>5954391</v>
      </c>
      <c r="F7" s="56" t="n">
        <f aca="false">((ASSUMPTIONS!B19+ASSUMPTIONS!B20+ASSUMPTIONS!B21+ASSUMPTIONS!B22)*ASSUMPTIONS!B32*ASSUMPTIONS!B14*ASSUMPTIONS!B7*ASSUMPTIONS!B8)-((ASSUMPTIONS!B19+ASSUMPTIONS!B20+ASSUMPTIONS!B21+ASSUMPTIONS!B22)*ASSUMPTIONS!B32*ASSUMPTIONS!B14*(ASSUMPTIONS!B10+ASSUMPTIONS!B9*ASSUMPTIONS!B7*1.1+ASSUMPTIONS!B11))</f>
        <v>9096986.25</v>
      </c>
      <c r="G7" s="56" t="n">
        <f aca="false">((ASSUMPTIONS!B19+ASSUMPTIONS!B20+ASSUMPTIONS!B21+ASSUMPTIONS!B22+ASSUMPTIONS!B23)*ASSUMPTIONS!B33*ASSUMPTIONS!B14*ASSUMPTIONS!B7*ASSUMPTIONS!B8)-((ASSUMPTIONS!B19+ASSUMPTIONS!B20+ASSUMPTIONS!B21+ASSUMPTIONS!B22+ASSUMPTIONS!B23)*ASSUMPTIONS!B33*ASSUMPTIONS!B14*(ASSUMPTIONS!B10+ASSUMPTIONS!B9*ASSUMPTIONS!B7*1.1+ASSUMPTIONS!B11))</f>
        <v>10750983.75</v>
      </c>
      <c r="H7" s="56" t="n">
        <f aca="false">((ASSUMPTIONS!B19+ASSUMPTIONS!B20+ASSUMPTIONS!B21+ASSUMPTIONS!B22+ASSUMPTIONS!B23+ASSUMPTIONS!B24)*ASSUMPTIONS!B34*ASSUMPTIONS!B14*ASSUMPTIONS!B7*ASSUMPTIONS!B8)-((ASSUMPTIONS!B19+ASSUMPTIONS!B20+ASSUMPTIONS!B21+ASSUMPTIONS!B22+ASSUMPTIONS!B23+ASSUMPTIONS!B24)*ASSUMPTIONS!B34*ASSUMPTIONS!B14*(ASSUMPTIONS!B10+ASSUMPTIONS!B9*ASSUMPTIONS!B7*1.1+ASSUMPTIONS!B11))</f>
        <v>11577982.5</v>
      </c>
      <c r="I7" s="56" t="n">
        <f aca="false">((ASSUMPTIONS!B19+ASSUMPTIONS!B20+ASSUMPTIONS!B21+ASSUMPTIONS!B22+ASSUMPTIONS!B23+ASSUMPTIONS!B24+ASSUMPTIONS!B25)*ASSUMPTIONS!B35*ASSUMPTIONS!B14*ASSUMPTIONS!B7*ASSUMPTIONS!B8)-((ASSUMPTIONS!B19+ASSUMPTIONS!B20+ASSUMPTIONS!B21+ASSUMPTIONS!B22+ASSUMPTIONS!B23+ASSUMPTIONS!B24+ASSUMPTIONS!B25)*ASSUMPTIONS!B35*ASSUMPTIONS!B14*(ASSUMPTIONS!B10+ASSUMPTIONS!B9*ASSUMPTIONS!B7*1.1+ASSUMPTIONS!B11))</f>
        <v>12404981.25</v>
      </c>
      <c r="K7" s="57" t="n">
        <f aca="false">((ASSUMPTIONS!C19)*ASSUMPTIONS!C29*ASSUMPTIONS!B14*ASSUMPTIONS!B6*ASSUMPTIONS!B8)-((ASSUMPTIONS!C19)*ASSUMPTIONS!C29*ASSUMPTIONS!B14*(ASSUMPTIONS!B10+ASSUMPTIONS!B9*ASSUMPTIONS!B6*1.1+ASSUMPTIONS!B11))</f>
        <v>2437196.25</v>
      </c>
      <c r="L7" s="57" t="n">
        <f aca="false">((ASSUMPTIONS!C19+ASSUMPTIONS!C20)*ASSUMPTIONS!C30*ASSUMPTIONS!B14*ASSUMPTIONS!B6*ASSUMPTIONS!B8)-((ASSUMPTIONS!C19+ASSUMPTIONS!C20)*ASSUMPTIONS!C30*ASSUMPTIONS!B14*(ASSUMPTIONS!B10+ASSUMPTIONS!B9*ASSUMPTIONS!B6*1.1+ASSUMPTIONS!B11))</f>
        <v>8773906.5</v>
      </c>
      <c r="M7" s="57" t="n">
        <f aca="false">((ASSUMPTIONS!C19+ASSUMPTIONS!C20+ASSUMPTIONS!C21)*ASSUMPTIONS!C31*ASSUMPTIONS!B14*ASSUMPTIONS!B7*ASSUMPTIONS!B8)-((ASSUMPTIONS!C19+ASSUMPTIONS!C20+ASSUMPTIONS!C21)*ASSUMPTIONS!C31*ASSUMPTIONS!B14*(ASSUMPTIONS!B10+ASSUMPTIONS!B9*ASSUMPTIONS!B7*1.1+ASSUMPTIONS!B11))</f>
        <v>21832767</v>
      </c>
      <c r="N7" s="57" t="n">
        <f aca="false">((ASSUMPTIONS!C19+ASSUMPTIONS!C20+ASSUMPTIONS!C21+ASSUMPTIONS!C22)*ASSUMPTIONS!C32*ASSUMPTIONS!B14*ASSUMPTIONS!B7*ASSUMPTIONS!B8)-((ASSUMPTIONS!C19+ASSUMPTIONS!C20+ASSUMPTIONS!C21+ASSUMPTIONS!C22)*ASSUMPTIONS!C32*ASSUMPTIONS!B14*(ASSUMPTIONS!B10+ASSUMPTIONS!B9*ASSUMPTIONS!B7*1.1+ASSUMPTIONS!B11))</f>
        <v>30323287.5</v>
      </c>
      <c r="O7" s="57" t="n">
        <f aca="false">((ASSUMPTIONS!C19+ASSUMPTIONS!C20+ASSUMPTIONS!C21+ASSUMPTIONS!C22+ASSUMPTIONS!C23)*ASSUMPTIONS!C33*ASSUMPTIONS!B14*ASSUMPTIONS!B7*ASSUMPTIONS!B8)-((ASSUMPTIONS!C19+ASSUMPTIONS!C20+ASSUMPTIONS!C21+ASSUMPTIONS!C22+ASSUMPTIONS!C23)*ASSUMPTIONS!C33*ASSUMPTIONS!B14*(ASSUMPTIONS!B10+ASSUMPTIONS!B9*ASSUMPTIONS!B7*1.1+ASSUMPTIONS!B11))</f>
        <v>35836612.5</v>
      </c>
      <c r="P7" s="57" t="n">
        <f aca="false">((ASSUMPTIONS!C19+ASSUMPTIONS!C20+ASSUMPTIONS!C21+ASSUMPTIONS!C22+ASSUMPTIONS!C23+ASSUMPTIONS!C24)*ASSUMPTIONS!C34*ASSUMPTIONS!B14*ASSUMPTIONS!B7*ASSUMPTIONS!B8)-((ASSUMPTIONS!C19+ASSUMPTIONS!C20+ASSUMPTIONS!C21+ASSUMPTIONS!C22+ASSUMPTIONS!C23+ASSUMPTIONS!C24)*ASSUMPTIONS!C34*ASSUMPTIONS!B14*(ASSUMPTIONS!B10+ASSUMPTIONS!B9*ASSUMPTIONS!B7*1.1+ASSUMPTIONS!B11))</f>
        <v>39971606.25</v>
      </c>
      <c r="Q7" s="57" t="n">
        <f aca="false">((ASSUMPTIONS!C19+ASSUMPTIONS!C20+ASSUMPTIONS!C21+ASSUMPTIONS!C22+ASSUMPTIONS!C23+ASSUMPTIONS!C24+ASSUMPTIONS!C25)*ASSUMPTIONS!C35*ASSUMPTIONS!B14*ASSUMPTIONS!B7*ASSUMPTIONS!B8)-((ASSUMPTIONS!C19+ASSUMPTIONS!C20+ASSUMPTIONS!C21+ASSUMPTIONS!C22+ASSUMPTIONS!C23+ASSUMPTIONS!C24+ASSUMPTIONS!C25)*ASSUMPTIONS!C35*ASSUMPTIONS!B14*(ASSUMPTIONS!B10+ASSUMPTIONS!B9*ASSUMPTIONS!B7*1.1+ASSUMPTIONS!B11))</f>
        <v>44106600</v>
      </c>
      <c r="S7" s="58" t="n">
        <f aca="false">((ASSUMPTIONS!D19)*ASSUMPTIONS!D29*ASSUMPTIONS!B14*ASSUMPTIONS!B6*ASSUMPTIONS!B8)-((ASSUMPTIONS!D19)*ASSUMPTIONS!D29*ASSUMPTIONS!B14*(ASSUMPTIONS!B10+ASSUMPTIONS!B9*ASSUMPTIONS!B6*1.1+ASSUMPTIONS!B11))</f>
        <v>8123987.5</v>
      </c>
      <c r="T7" s="58" t="n">
        <f aca="false">((ASSUMPTIONS!D19+ASSUMPTIONS!D20)*ASSUMPTIONS!D30*ASSUMPTIONS!B14*ASSUMPTIONS!B6*ASSUMPTIONS!B8)-((ASSUMPTIONS!D19+ASSUMPTIONS!D20)*ASSUMPTIONS!D30*ASSUMPTIONS!B14*(ASSUMPTIONS!B10+ASSUMPTIONS!B9*ASSUMPTIONS!B6*1.1+ASSUMPTIONS!B11))</f>
        <v>29246355</v>
      </c>
      <c r="U7" s="58" t="n">
        <f aca="false">((ASSUMPTIONS!D19+ASSUMPTIONS!D20+ASSUMPTIONS!D21)*ASSUMPTIONS!D31*ASSUMPTIONS!B14*ASSUMPTIONS!B7*ASSUMPTIONS!B8)-((ASSUMPTIONS!D19+ASSUMPTIONS!D20+ASSUMPTIONS!D21)*ASSUMPTIONS!D31*ASSUMPTIONS!B14*(ASSUMPTIONS!B10+ASSUMPTIONS!B9*ASSUMPTIONS!B7*1.1+ASSUMPTIONS!B11))</f>
        <v>69467895</v>
      </c>
      <c r="V7" s="58" t="n">
        <f aca="false">((ASSUMPTIONS!D19+ASSUMPTIONS!D20+ASSUMPTIONS!D21+ASSUMPTIONS!D22)*ASSUMPTIONS!D32*ASSUMPTIONS!B14*ASSUMPTIONS!B7*ASSUMPTIONS!B8)-((ASSUMPTIONS!D19+ASSUMPTIONS!D20+ASSUMPTIONS!D21+ASSUMPTIONS!D22)*ASSUMPTIONS!D32*ASSUMPTIONS!B14*(ASSUMPTIONS!B10+ASSUMPTIONS!B9*ASSUMPTIONS!B7*1.1+ASSUMPTIONS!B11))</f>
        <v>97034520</v>
      </c>
      <c r="W7" s="58" t="n">
        <f aca="false">((ASSUMPTIONS!D19+ASSUMPTIONS!D20+ASSUMPTIONS!D21+ASSUMPTIONS!D22+ASSUMPTIONS!D23)*ASSUMPTIONS!D33*ASSUMPTIONS!B14*ASSUMPTIONS!B7*ASSUMPTIONS!B8)-((ASSUMPTIONS!D19+ASSUMPTIONS!D20+ASSUMPTIONS!D21+ASSUMPTIONS!D22+ASSUMPTIONS!D23)*ASSUMPTIONS!D33*ASSUMPTIONS!B14*(ASSUMPTIONS!B10+ASSUMPTIONS!B9*ASSUMPTIONS!B7*1.1+ASSUMPTIONS!B11))</f>
        <v>114677160</v>
      </c>
      <c r="X7" s="58" t="n">
        <f aca="false">((ASSUMPTIONS!D19+ASSUMPTIONS!D20+ASSUMPTIONS!D21+ASSUMPTIONS!D22+ASSUMPTIONS!D23+ASSUMPTIONS!D24)*ASSUMPTIONS!D34*ASSUMPTIONS!B14*ASSUMPTIONS!B7*ASSUMPTIONS!B8)-((ASSUMPTIONS!D19+ASSUMPTIONS!D20+ASSUMPTIONS!D21+ASSUMPTIONS!D22+ASSUMPTIONS!D23+ASSUMPTIONS!D24)*ASSUMPTIONS!D34*ASSUMPTIONS!B14*(ASSUMPTIONS!B10+ASSUMPTIONS!B9*ASSUMPTIONS!B7*1.1+ASSUMPTIONS!B11))</f>
        <v>127909140</v>
      </c>
      <c r="Y7" s="58" t="n">
        <f aca="false">((ASSUMPTIONS!D19+ASSUMPTIONS!D20+ASSUMPTIONS!D21+ASSUMPTIONS!D22+ASSUMPTIONS!D23+ASSUMPTIONS!D24+ASSUMPTIONS!D25)*ASSUMPTIONS!D35*ASSUMPTIONS!B14*ASSUMPTIONS!B7*ASSUMPTIONS!B8)-((ASSUMPTIONS!D19+ASSUMPTIONS!D20+ASSUMPTIONS!D21+ASSUMPTIONS!D22+ASSUMPTIONS!D23+ASSUMPTIONS!D24+ASSUMPTIONS!D25)*ASSUMPTIONS!D35*ASSUMPTIONS!B14*(ASSUMPTIONS!B10+ASSUMPTIONS!B9*ASSUMPTIONS!B7*1.1+ASSUMPTIONS!B11))</f>
        <v>141141120</v>
      </c>
    </row>
    <row r="8" customFormat="false" ht="15" hidden="false" customHeight="false" outlineLevel="0" collapsed="false">
      <c r="A8" s="55" t="s">
        <v>162</v>
      </c>
      <c r="C8" s="56" t="n">
        <f aca="false">(ASSUMPTIONS!B19)*ASSUMPTIONS!B29*ASSUMPTIONS!B14*ASSUMPTIONS!B12*ASSUMPTIONS!B13</f>
        <v>12964.8</v>
      </c>
      <c r="D8" s="56" t="n">
        <f aca="false">(ASSUMPTIONS!B19+ASSUMPTIONS!B20)*ASSUMPTIONS!B30*ASSUMPTIONS!B14*ASSUMPTIONS!B12*ASSUMPTIONS!B13</f>
        <v>48618</v>
      </c>
      <c r="E8" s="56" t="n">
        <f aca="false">(ASSUMPTIONS!B19+ASSUMPTIONS!B20+ASSUMPTIONS!B21)*ASSUMPTIONS!B31*ASSUMPTIONS!B14*ASSUMPTIONS!B12*ASSUMPTIONS!B13</f>
        <v>87512.4</v>
      </c>
      <c r="F8" s="56" t="n">
        <f aca="false">(ASSUMPTIONS!B19+ASSUMPTIONS!B20+ASSUMPTIONS!B21+ASSUMPTIONS!B22)*ASSUMPTIONS!B32*ASSUMPTIONS!B14*ASSUMPTIONS!B12*ASSUMPTIONS!B13</f>
        <v>133699.5</v>
      </c>
      <c r="G8" s="56" t="n">
        <f aca="false">(ASSUMPTIONS!B19+ASSUMPTIONS!B20+ASSUMPTIONS!B21+ASSUMPTIONS!B22+ASSUMPTIONS!B23)*ASSUMPTIONS!B33*ASSUMPTIONS!B14*ASSUMPTIONS!B12*ASSUMPTIONS!B13</f>
        <v>158008.5</v>
      </c>
      <c r="H8" s="56" t="n">
        <f aca="false">(ASSUMPTIONS!B19+ASSUMPTIONS!B20+ASSUMPTIONS!B21+ASSUMPTIONS!B22+ASSUMPTIONS!B23+ASSUMPTIONS!B24)*ASSUMPTIONS!B34*ASSUMPTIONS!B14*ASSUMPTIONS!B12*ASSUMPTIONS!B13</f>
        <v>170163</v>
      </c>
      <c r="I8" s="56" t="n">
        <f aca="false">(ASSUMPTIONS!B19+ASSUMPTIONS!B20+ASSUMPTIONS!B21+ASSUMPTIONS!B22+ASSUMPTIONS!B23+ASSUMPTIONS!B24+ASSUMPTIONS!B25)*ASSUMPTIONS!B35*ASSUMPTIONS!B14*ASSUMPTIONS!B12*ASSUMPTIONS!B13</f>
        <v>182317.5</v>
      </c>
      <c r="K8" s="57" t="n">
        <f aca="false">(ASSUMPTIONS!C19)*ASSUMPTIONS!C29*ASSUMPTIONS!B14*ASSUMPTIONS!B12*ASSUMPTIONS!B13</f>
        <v>48618</v>
      </c>
      <c r="L8" s="57" t="n">
        <f aca="false">(ASSUMPTIONS!C19+ASSUMPTIONS!C20)*ASSUMPTIONS!C30*ASSUMPTIONS!B14*ASSUMPTIONS!B12*ASSUMPTIONS!B13</f>
        <v>175024.8</v>
      </c>
      <c r="M8" s="57" t="n">
        <f aca="false">(ASSUMPTIONS!C19+ASSUMPTIONS!C20+ASSUMPTIONS!C21)*ASSUMPTIONS!C31*ASSUMPTIONS!B14*ASSUMPTIONS!B12*ASSUMPTIONS!B13</f>
        <v>320878.8</v>
      </c>
      <c r="N8" s="57" t="n">
        <f aca="false">(ASSUMPTIONS!C19+ASSUMPTIONS!C20+ASSUMPTIONS!C21+ASSUMPTIONS!C22)*ASSUMPTIONS!C32*ASSUMPTIONS!B14*ASSUMPTIONS!B12*ASSUMPTIONS!B13</f>
        <v>445665</v>
      </c>
      <c r="O8" s="57" t="n">
        <f aca="false">(ASSUMPTIONS!C19+ASSUMPTIONS!C20+ASSUMPTIONS!C21+ASSUMPTIONS!C22+ASSUMPTIONS!C23)*ASSUMPTIONS!C33*ASSUMPTIONS!B14*ASSUMPTIONS!B12*ASSUMPTIONS!B13</f>
        <v>526695</v>
      </c>
      <c r="P8" s="57" t="n">
        <f aca="false">(ASSUMPTIONS!C19+ASSUMPTIONS!C20+ASSUMPTIONS!C21+ASSUMPTIONS!C22+ASSUMPTIONS!C23+ASSUMPTIONS!C24)*ASSUMPTIONS!C34*ASSUMPTIONS!B14*ASSUMPTIONS!B12*ASSUMPTIONS!B13</f>
        <v>587467.5</v>
      </c>
      <c r="Q8" s="57" t="n">
        <f aca="false">(ASSUMPTIONS!C19+ASSUMPTIONS!C20+ASSUMPTIONS!C21+ASSUMPTIONS!C22+ASSUMPTIONS!C23+ASSUMPTIONS!C24+ASSUMPTIONS!C25)*ASSUMPTIONS!C35*ASSUMPTIONS!B14*ASSUMPTIONS!B12*ASSUMPTIONS!B13</f>
        <v>648240</v>
      </c>
      <c r="S8" s="58" t="n">
        <f aca="false">(ASSUMPTIONS!D19)*ASSUMPTIONS!D29*ASSUMPTIONS!B14*ASSUMPTIONS!B12*ASSUMPTIONS!B13</f>
        <v>162060</v>
      </c>
      <c r="T8" s="58" t="n">
        <f aca="false">(ASSUMPTIONS!D19+ASSUMPTIONS!D20)*ASSUMPTIONS!D30*ASSUMPTIONS!B14*ASSUMPTIONS!B12*ASSUMPTIONS!B13</f>
        <v>583416</v>
      </c>
      <c r="U8" s="58" t="n">
        <f aca="false">(ASSUMPTIONS!D19+ASSUMPTIONS!D20+ASSUMPTIONS!D21)*ASSUMPTIONS!D31*ASSUMPTIONS!B14*ASSUMPTIONS!B12*ASSUMPTIONS!B13</f>
        <v>1020978</v>
      </c>
      <c r="V8" s="58" t="n">
        <f aca="false">(ASSUMPTIONS!D19+ASSUMPTIONS!D20+ASSUMPTIONS!D21+ASSUMPTIONS!D22)*ASSUMPTIONS!D32*ASSUMPTIONS!B14*ASSUMPTIONS!B12*ASSUMPTIONS!B13</f>
        <v>1426128</v>
      </c>
      <c r="W8" s="58" t="n">
        <f aca="false">(ASSUMPTIONS!D19+ASSUMPTIONS!D20+ASSUMPTIONS!D21+ASSUMPTIONS!D22+ASSUMPTIONS!D23)*ASSUMPTIONS!D33*ASSUMPTIONS!B14*ASSUMPTIONS!B12*ASSUMPTIONS!B13</f>
        <v>1685424</v>
      </c>
      <c r="X8" s="58" t="n">
        <f aca="false">(ASSUMPTIONS!D19+ASSUMPTIONS!D20+ASSUMPTIONS!D21+ASSUMPTIONS!D22+ASSUMPTIONS!D23+ASSUMPTIONS!D24)*ASSUMPTIONS!D34*ASSUMPTIONS!B14*ASSUMPTIONS!B12*ASSUMPTIONS!B13</f>
        <v>1879896</v>
      </c>
      <c r="Y8" s="58" t="n">
        <f aca="false">(ASSUMPTIONS!D19+ASSUMPTIONS!D20+ASSUMPTIONS!D21+ASSUMPTIONS!D22+ASSUMPTIONS!D23+ASSUMPTIONS!D24+ASSUMPTIONS!D25)*ASSUMPTIONS!D35*ASSUMPTIONS!B14*ASSUMPTIONS!B12*ASSUMPTIONS!B13</f>
        <v>2074368</v>
      </c>
    </row>
    <row r="9" customFormat="false" ht="15" hidden="false" customHeight="false" outlineLevel="0" collapsed="false">
      <c r="A9" s="55" t="s">
        <v>163</v>
      </c>
      <c r="C9" s="59" t="n">
        <v>0</v>
      </c>
      <c r="D9" s="59" t="n">
        <v>0</v>
      </c>
      <c r="E9" s="56" t="n">
        <f aca="false">ASSUMPTIONS!B60*1000*ASSUMPTIONS!B59</f>
        <v>125000</v>
      </c>
      <c r="F9" s="56" t="n">
        <f aca="false">ASSUMPTIONS!B60*1000*(1+ASSUMPTIONS!B61)^1*ASSUMPTIONS!B59</f>
        <v>150000</v>
      </c>
      <c r="G9" s="56" t="n">
        <f aca="false">ASSUMPTIONS!B60*1000*(1+ASSUMPTIONS!B61)^2*ASSUMPTIONS!B59</f>
        <v>180000</v>
      </c>
      <c r="H9" s="56" t="n">
        <f aca="false">ASSUMPTIONS!B60*1000*(1+ASSUMPTIONS!B61)^3*ASSUMPTIONS!B59</f>
        <v>216000</v>
      </c>
      <c r="I9" s="56" t="n">
        <f aca="false">ASSUMPTIONS!B60*1000*(1+ASSUMPTIONS!B61)^4*ASSUMPTIONS!B59</f>
        <v>259200</v>
      </c>
      <c r="K9" s="60" t="n">
        <v>0</v>
      </c>
      <c r="L9" s="60" t="n">
        <v>0</v>
      </c>
      <c r="M9" s="57" t="n">
        <f aca="false">ASSUMPTIONS!C60*1000*ASSUMPTIONS!C59</f>
        <v>400000</v>
      </c>
      <c r="N9" s="57" t="n">
        <f aca="false">ASSUMPTIONS!C60*1000*(1+ASSUMPTIONS!C61)^1*ASSUMPTIONS!C59</f>
        <v>560000</v>
      </c>
      <c r="O9" s="57" t="n">
        <f aca="false">ASSUMPTIONS!C60*1000*(1+ASSUMPTIONS!C61)^2*ASSUMPTIONS!C59</f>
        <v>784000</v>
      </c>
      <c r="P9" s="57" t="n">
        <f aca="false">ASSUMPTIONS!C60*1000*(1+ASSUMPTIONS!C61)^3*ASSUMPTIONS!C59</f>
        <v>1097600</v>
      </c>
      <c r="Q9" s="57" t="n">
        <f aca="false">ASSUMPTIONS!C60*1000*(1+ASSUMPTIONS!C61)^4*ASSUMPTIONS!C59</f>
        <v>1536640</v>
      </c>
      <c r="S9" s="61" t="n">
        <v>0</v>
      </c>
      <c r="T9" s="61" t="n">
        <v>0</v>
      </c>
      <c r="U9" s="58" t="n">
        <f aca="false">ASSUMPTIONS!D60*1000*ASSUMPTIONS!D59</f>
        <v>1500000</v>
      </c>
      <c r="V9" s="58" t="n">
        <f aca="false">ASSUMPTIONS!D60*1000*(1+ASSUMPTIONS!D61)^1*ASSUMPTIONS!D59</f>
        <v>2400000</v>
      </c>
      <c r="W9" s="58" t="n">
        <f aca="false">ASSUMPTIONS!D60*1000*(1+ASSUMPTIONS!D61)^2*ASSUMPTIONS!D59</f>
        <v>3840000</v>
      </c>
      <c r="X9" s="58" t="n">
        <f aca="false">ASSUMPTIONS!D60*1000*(1+ASSUMPTIONS!D61)^3*ASSUMPTIONS!D59</f>
        <v>6144000</v>
      </c>
      <c r="Y9" s="58" t="n">
        <f aca="false">ASSUMPTIONS!D60*1000*(1+ASSUMPTIONS!D61)^4*ASSUMPTIONS!D59</f>
        <v>9830400</v>
      </c>
    </row>
    <row r="10" customFormat="false" ht="15" hidden="false" customHeight="false" outlineLevel="0" collapsed="false">
      <c r="A10" s="62" t="s">
        <v>164</v>
      </c>
      <c r="C10" s="63" t="n">
        <f aca="false">C7+C8+C9</f>
        <v>662883.8</v>
      </c>
      <c r="D10" s="63" t="n">
        <f aca="false">D7+D8+D9</f>
        <v>2485814.25</v>
      </c>
      <c r="E10" s="63" t="n">
        <f aca="false">E7+E8+E9</f>
        <v>6166903.4</v>
      </c>
      <c r="F10" s="63" t="n">
        <f aca="false">F7+F8+F9</f>
        <v>9380685.75</v>
      </c>
      <c r="G10" s="63" t="n">
        <f aca="false">G7+G8+G9</f>
        <v>11088992.25</v>
      </c>
      <c r="H10" s="63" t="n">
        <f aca="false">H7+H8+H9</f>
        <v>11964145.5</v>
      </c>
      <c r="I10" s="63" t="n">
        <f aca="false">I7+I8+I9</f>
        <v>12846498.75</v>
      </c>
      <c r="K10" s="63" t="n">
        <f aca="false">K7+K8+K9</f>
        <v>2485814.25</v>
      </c>
      <c r="L10" s="63" t="n">
        <f aca="false">L7+L8+L9</f>
        <v>8948931.3</v>
      </c>
      <c r="M10" s="63" t="n">
        <f aca="false">M7+M8+M9</f>
        <v>22553645.8</v>
      </c>
      <c r="N10" s="63" t="n">
        <f aca="false">N7+N8+N9</f>
        <v>31328952.5</v>
      </c>
      <c r="O10" s="63" t="n">
        <f aca="false">O7+O8+O9</f>
        <v>37147307.5</v>
      </c>
      <c r="P10" s="63" t="n">
        <f aca="false">P7+P8+P9</f>
        <v>41656673.75</v>
      </c>
      <c r="Q10" s="63" t="n">
        <f aca="false">Q7+Q8+Q9</f>
        <v>46291480</v>
      </c>
      <c r="S10" s="63" t="n">
        <f aca="false">S7+S8+S9</f>
        <v>8286047.5</v>
      </c>
      <c r="T10" s="63" t="n">
        <f aca="false">T7+T8+T9</f>
        <v>29829771</v>
      </c>
      <c r="U10" s="63" t="n">
        <f aca="false">U7+U8+U9</f>
        <v>71988873</v>
      </c>
      <c r="V10" s="63" t="n">
        <f aca="false">V7+V8+V9</f>
        <v>100860648</v>
      </c>
      <c r="W10" s="63" t="n">
        <f aca="false">W7+W8+W9</f>
        <v>120202584</v>
      </c>
      <c r="X10" s="63" t="n">
        <f aca="false">X7+X8+X9</f>
        <v>135933036</v>
      </c>
      <c r="Y10" s="63" t="n">
        <f aca="false">Y7+Y8+Y9</f>
        <v>153045888</v>
      </c>
    </row>
    <row r="12" customFormat="false" ht="15" hidden="false" customHeight="false" outlineLevel="0" collapsed="false">
      <c r="A12" s="19" t="s">
        <v>165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customFormat="false" ht="15" hidden="false" customHeight="false" outlineLevel="0" collapsed="false">
      <c r="A13" s="55" t="s">
        <v>166</v>
      </c>
      <c r="C13" s="56" t="n">
        <f aca="false">(ASSUMPTIONS!B19)*IF((ASSUMPTIONS!B19)&lt;ASSUMPTIONS!B41,ASSUMPTIONS!B39,ASSUMPTIONS!B40)</f>
        <v>20050</v>
      </c>
      <c r="D13" s="56" t="n">
        <f aca="false">(ASSUMPTIONS!B20)*IF((ASSUMPTIONS!B19+ASSUMPTIONS!B20)&lt;ASSUMPTIONS!B41,ASSUMPTIONS!B39,ASSUMPTIONS!B40)</f>
        <v>40100</v>
      </c>
      <c r="E13" s="56" t="n">
        <f aca="false">(ASSUMPTIONS!B21)*IF((ASSUMPTIONS!B19+ASSUMPTIONS!B20+ASSUMPTIONS!B21)&lt;ASSUMPTIONS!B41,ASSUMPTIONS!B39,ASSUMPTIONS!B40)</f>
        <v>17625</v>
      </c>
      <c r="F13" s="56" t="n">
        <f aca="false">(ASSUMPTIONS!B22)*IF((ASSUMPTIONS!B19+ASSUMPTIONS!B20+ASSUMPTIONS!B21+ASSUMPTIONS!B22)&lt;ASSUMPTIONS!B41,ASSUMPTIONS!B39,ASSUMPTIONS!B40)</f>
        <v>11750</v>
      </c>
      <c r="G13" s="56" t="n">
        <f aca="false">(ASSUMPTIONS!B23)*IF((ASSUMPTIONS!B19+ASSUMPTIONS!B20+ASSUMPTIONS!B21+ASSUMPTIONS!B22+ASSUMPTIONS!B23)&lt;ASSUMPTIONS!B41,ASSUMPTIONS!B39,ASSUMPTIONS!B40)</f>
        <v>11750</v>
      </c>
      <c r="H13" s="56" t="n">
        <f aca="false">(ASSUMPTIONS!B24)*IF((ASSUMPTIONS!B19+ASSUMPTIONS!B20+ASSUMPTIONS!B21+ASSUMPTIONS!B22+ASSUMPTIONS!B23+ASSUMPTIONS!B24)&lt;ASSUMPTIONS!B41,ASSUMPTIONS!B39,ASSUMPTIONS!B40)</f>
        <v>5875</v>
      </c>
      <c r="I13" s="56" t="n">
        <f aca="false">(ASSUMPTIONS!B25)*IF((ASSUMPTIONS!B19+ASSUMPTIONS!B20+ASSUMPTIONS!B21+ASSUMPTIONS!B22+ASSUMPTIONS!B23+ASSUMPTIONS!B24+ASSUMPTIONS!B25)&lt;ASSUMPTIONS!B41,ASSUMPTIONS!B39,ASSUMPTIONS!B40)</f>
        <v>5875</v>
      </c>
      <c r="K13" s="57" t="n">
        <f aca="false">(ASSUMPTIONS!C19)*IF((ASSUMPTIONS!C19)&lt;ASSUMPTIONS!B41,ASSUMPTIONS!B39,ASSUMPTIONS!B40)</f>
        <v>40100</v>
      </c>
      <c r="L13" s="57" t="n">
        <f aca="false">(ASSUMPTIONS!C20)*IF((ASSUMPTIONS!C19+ASSUMPTIONS!C20)&lt;ASSUMPTIONS!B41,ASSUMPTIONS!B39,ASSUMPTIONS!B40)</f>
        <v>47000</v>
      </c>
      <c r="M13" s="57" t="n">
        <f aca="false">(ASSUMPTIONS!C21)*IF((ASSUMPTIONS!C19+ASSUMPTIONS!C20+ASSUMPTIONS!C21)&lt;ASSUMPTIONS!B41,ASSUMPTIONS!B39,ASSUMPTIONS!B40)</f>
        <v>35250</v>
      </c>
      <c r="N13" s="57" t="n">
        <f aca="false">(ASSUMPTIONS!C22)*IF((ASSUMPTIONS!C19+ASSUMPTIONS!C20+ASSUMPTIONS!C21+ASSUMPTIONS!C22)&lt;ASSUMPTIONS!B41,ASSUMPTIONS!B39,ASSUMPTIONS!B40)</f>
        <v>23500</v>
      </c>
      <c r="O13" s="57" t="n">
        <f aca="false">(ASSUMPTIONS!C23)*IF((ASSUMPTIONS!C19+ASSUMPTIONS!C20+ASSUMPTIONS!C21+ASSUMPTIONS!C22+ASSUMPTIONS!C23)&lt;ASSUMPTIONS!B41,ASSUMPTIONS!B39,ASSUMPTIONS!B40)</f>
        <v>23500</v>
      </c>
      <c r="P13" s="57" t="n">
        <f aca="false">(ASSUMPTIONS!C24)*IF((ASSUMPTIONS!C19+ASSUMPTIONS!C20+ASSUMPTIONS!C21+ASSUMPTIONS!C22+ASSUMPTIONS!C23+ASSUMPTIONS!C24)&lt;ASSUMPTIONS!B41,ASSUMPTIONS!B39,ASSUMPTIONS!B40)</f>
        <v>17625</v>
      </c>
      <c r="Q13" s="57" t="n">
        <f aca="false">(ASSUMPTIONS!C25)*IF((ASSUMPTIONS!C19+ASSUMPTIONS!C20+ASSUMPTIONS!C21+ASSUMPTIONS!C22+ASSUMPTIONS!C23+ASSUMPTIONS!C24+ASSUMPTIONS!C25)&lt;ASSUMPTIONS!B41,ASSUMPTIONS!B39,ASSUMPTIONS!B40)</f>
        <v>17625</v>
      </c>
      <c r="S13" s="58" t="n">
        <f aca="false">(ASSUMPTIONS!D19)*IF((ASSUMPTIONS!D19)&lt;ASSUMPTIONS!B41,ASSUMPTIONS!B39,ASSUMPTIONS!B40)</f>
        <v>47000</v>
      </c>
      <c r="T13" s="58" t="n">
        <f aca="false">(ASSUMPTIONS!D20)*IF((ASSUMPTIONS!D19+ASSUMPTIONS!D20)&lt;ASSUMPTIONS!B41,ASSUMPTIONS!B39,ASSUMPTIONS!B40)</f>
        <v>94000</v>
      </c>
      <c r="U13" s="58" t="n">
        <f aca="false">(ASSUMPTIONS!D21)*IF((ASSUMPTIONS!D19+ASSUMPTIONS!D20+ASSUMPTIONS!D21)&lt;ASSUMPTIONS!B41,ASSUMPTIONS!B39,ASSUMPTIONS!B40)</f>
        <v>70500</v>
      </c>
      <c r="V13" s="58" t="n">
        <f aca="false">(ASSUMPTIONS!D22)*IF((ASSUMPTIONS!D19+ASSUMPTIONS!D20+ASSUMPTIONS!D21+ASSUMPTIONS!D22)&lt;ASSUMPTIONS!B41,ASSUMPTIONS!B39,ASSUMPTIONS!B40)</f>
        <v>47000</v>
      </c>
      <c r="W13" s="58" t="n">
        <f aca="false">(ASSUMPTIONS!D23)*IF((ASSUMPTIONS!D19+ASSUMPTIONS!D20+ASSUMPTIONS!D21+ASSUMPTIONS!D22+ASSUMPTIONS!D23)&lt;ASSUMPTIONS!B41,ASSUMPTIONS!B39,ASSUMPTIONS!B40)</f>
        <v>47000</v>
      </c>
      <c r="X13" s="58" t="n">
        <f aca="false">(ASSUMPTIONS!D24)*IF((ASSUMPTIONS!D19+ASSUMPTIONS!D20+ASSUMPTIONS!D21+ASSUMPTIONS!D22+ASSUMPTIONS!D23+ASSUMPTIONS!D24)&lt;ASSUMPTIONS!B41,ASSUMPTIONS!B39,ASSUMPTIONS!B40)</f>
        <v>35250</v>
      </c>
      <c r="Y13" s="58" t="n">
        <f aca="false">(ASSUMPTIONS!D25)*IF((ASSUMPTIONS!D19+ASSUMPTIONS!D20+ASSUMPTIONS!D21+ASSUMPTIONS!D22+ASSUMPTIONS!D23+ASSUMPTIONS!D24+ASSUMPTIONS!D25)&lt;ASSUMPTIONS!B41,ASSUMPTIONS!B39,ASSUMPTIONS!B40)</f>
        <v>35250</v>
      </c>
    </row>
    <row r="14" customFormat="false" ht="15" hidden="false" customHeight="false" outlineLevel="0" collapsed="false">
      <c r="A14" s="55" t="s">
        <v>167</v>
      </c>
      <c r="C14" s="56" t="n">
        <f aca="false">(ASSUMPTIONS!B19)*ASSUMPTIONS!B29*ASSUMPTIONS!B14*(ASSUMPTIONS!B10+ASSUMPTIONS!B9*ASSUMPTIONS!B6*1.1+ASSUMPTIONS!B11)</f>
        <v>116581</v>
      </c>
      <c r="D14" s="56" t="n">
        <f aca="false">(ASSUMPTIONS!B19+ASSUMPTIONS!B20)*ASSUMPTIONS!B30*ASSUMPTIONS!B14*(ASSUMPTIONS!B10+ASSUMPTIONS!B9*ASSUMPTIONS!B6*1.1+ASSUMPTIONS!B11)</f>
        <v>437178.75</v>
      </c>
      <c r="E14" s="56" t="n">
        <f aca="false">(ASSUMPTIONS!B19+ASSUMPTIONS!B20+ASSUMPTIONS!B21)*ASSUMPTIONS!B31*ASSUMPTIONS!B14*(ASSUMPTIONS!B10+ASSUMPTIONS!B9*ASSUMPTIONS!B7*1.1+ASSUMPTIONS!B11)</f>
        <v>944109</v>
      </c>
      <c r="F14" s="56" t="n">
        <f aca="false">(ASSUMPTIONS!B19+ASSUMPTIONS!B20+ASSUMPTIONS!B21+ASSUMPTIONS!B22)*ASSUMPTIONS!B32*ASSUMPTIONS!B14*(ASSUMPTIONS!B10+ASSUMPTIONS!B9*ASSUMPTIONS!B7*1.1+ASSUMPTIONS!B11)</f>
        <v>1442388.75</v>
      </c>
      <c r="G14" s="56" t="n">
        <f aca="false">(ASSUMPTIONS!B19+ASSUMPTIONS!B20+ASSUMPTIONS!B21+ASSUMPTIONS!B22+ASSUMPTIONS!B23)*ASSUMPTIONS!B33*ASSUMPTIONS!B14*(ASSUMPTIONS!B10+ASSUMPTIONS!B9*ASSUMPTIONS!B7*1.1+ASSUMPTIONS!B11)</f>
        <v>1704641.25</v>
      </c>
      <c r="H14" s="56" t="n">
        <f aca="false">(ASSUMPTIONS!B19+ASSUMPTIONS!B20+ASSUMPTIONS!B21+ASSUMPTIONS!B22+ASSUMPTIONS!B23+ASSUMPTIONS!B24)*ASSUMPTIONS!B34*ASSUMPTIONS!B14*(ASSUMPTIONS!B10+ASSUMPTIONS!B9*ASSUMPTIONS!B7*1.1+ASSUMPTIONS!B11)</f>
        <v>1835767.5</v>
      </c>
      <c r="I14" s="56" t="n">
        <f aca="false">(ASSUMPTIONS!B19+ASSUMPTIONS!B20+ASSUMPTIONS!B21+ASSUMPTIONS!B22+ASSUMPTIONS!B23+ASSUMPTIONS!B24+ASSUMPTIONS!B25)*ASSUMPTIONS!B35*ASSUMPTIONS!B14*(ASSUMPTIONS!B10+ASSUMPTIONS!B9*ASSUMPTIONS!B7*1.1+ASSUMPTIONS!B11)</f>
        <v>1966893.75</v>
      </c>
      <c r="K14" s="57" t="n">
        <f aca="false">(ASSUMPTIONS!C19)*ASSUMPTIONS!C29*ASSUMPTIONS!B14*(ASSUMPTIONS!B10+ASSUMPTIONS!B9*ASSUMPTIONS!B6*1.1+ASSUMPTIONS!B11)</f>
        <v>437178.75</v>
      </c>
      <c r="L14" s="57" t="n">
        <f aca="false">(ASSUMPTIONS!C19+ASSUMPTIONS!C20)*ASSUMPTIONS!C30*ASSUMPTIONS!B14*(ASSUMPTIONS!B10+ASSUMPTIONS!B9*ASSUMPTIONS!B6*1.1+ASSUMPTIONS!B11)</f>
        <v>1573843.5</v>
      </c>
      <c r="M14" s="57" t="n">
        <f aca="false">(ASSUMPTIONS!C19+ASSUMPTIONS!C20+ASSUMPTIONS!C21)*ASSUMPTIONS!C31*ASSUMPTIONS!B14*(ASSUMPTIONS!B10+ASSUMPTIONS!B9*ASSUMPTIONS!B7*1.1+ASSUMPTIONS!B11)</f>
        <v>3461733</v>
      </c>
      <c r="N14" s="57" t="n">
        <f aca="false">(ASSUMPTIONS!C19+ASSUMPTIONS!C20+ASSUMPTIONS!C21+ASSUMPTIONS!C22)*ASSUMPTIONS!C32*ASSUMPTIONS!B14*(ASSUMPTIONS!B10+ASSUMPTIONS!B9*ASSUMPTIONS!B7*1.1+ASSUMPTIONS!B11)</f>
        <v>4807962.5</v>
      </c>
      <c r="O14" s="57" t="n">
        <f aca="false">(ASSUMPTIONS!C19+ASSUMPTIONS!C20+ASSUMPTIONS!C21+ASSUMPTIONS!C22+ASSUMPTIONS!C23)*ASSUMPTIONS!C33*ASSUMPTIONS!B14*(ASSUMPTIONS!B10+ASSUMPTIONS!B9*ASSUMPTIONS!B7*1.1+ASSUMPTIONS!B11)</f>
        <v>5682137.5</v>
      </c>
      <c r="P14" s="57" t="n">
        <f aca="false">(ASSUMPTIONS!C19+ASSUMPTIONS!C20+ASSUMPTIONS!C21+ASSUMPTIONS!C22+ASSUMPTIONS!C23+ASSUMPTIONS!C24)*ASSUMPTIONS!C34*ASSUMPTIONS!B14*(ASSUMPTIONS!B10+ASSUMPTIONS!B9*ASSUMPTIONS!B7*1.1+ASSUMPTIONS!B11)</f>
        <v>6337768.75</v>
      </c>
      <c r="Q14" s="57" t="n">
        <f aca="false">(ASSUMPTIONS!C19+ASSUMPTIONS!C20+ASSUMPTIONS!C21+ASSUMPTIONS!C22+ASSUMPTIONS!C23+ASSUMPTIONS!C24+ASSUMPTIONS!C25)*ASSUMPTIONS!C35*ASSUMPTIONS!B14*(ASSUMPTIONS!B10+ASSUMPTIONS!B9*ASSUMPTIONS!B7*1.1+ASSUMPTIONS!B11)</f>
        <v>6993400</v>
      </c>
      <c r="S14" s="58" t="n">
        <f aca="false">(ASSUMPTIONS!D19)*ASSUMPTIONS!D29*ASSUMPTIONS!B14*(ASSUMPTIONS!B10+ASSUMPTIONS!B9*ASSUMPTIONS!B6*1.1+ASSUMPTIONS!B11)</f>
        <v>1457262.5</v>
      </c>
      <c r="T14" s="58" t="n">
        <f aca="false">(ASSUMPTIONS!D19+ASSUMPTIONS!D20)*ASSUMPTIONS!D30*ASSUMPTIONS!B14*(ASSUMPTIONS!B10+ASSUMPTIONS!B9*ASSUMPTIONS!B6*1.1+ASSUMPTIONS!B11)</f>
        <v>5246145</v>
      </c>
      <c r="U14" s="58" t="n">
        <f aca="false">(ASSUMPTIONS!D19+ASSUMPTIONS!D20+ASSUMPTIONS!D21)*ASSUMPTIONS!D31*ASSUMPTIONS!B14*(ASSUMPTIONS!B10+ASSUMPTIONS!B9*ASSUMPTIONS!B7*1.1+ASSUMPTIONS!B11)</f>
        <v>11014605</v>
      </c>
      <c r="V14" s="58" t="n">
        <f aca="false">(ASSUMPTIONS!D19+ASSUMPTIONS!D20+ASSUMPTIONS!D21+ASSUMPTIONS!D22)*ASSUMPTIONS!D32*ASSUMPTIONS!B14*(ASSUMPTIONS!B10+ASSUMPTIONS!B9*ASSUMPTIONS!B7*1.1+ASSUMPTIONS!B11)</f>
        <v>15385480</v>
      </c>
      <c r="W14" s="58" t="n">
        <f aca="false">(ASSUMPTIONS!D19+ASSUMPTIONS!D20+ASSUMPTIONS!D21+ASSUMPTIONS!D22+ASSUMPTIONS!D23)*ASSUMPTIONS!D33*ASSUMPTIONS!B14*(ASSUMPTIONS!B10+ASSUMPTIONS!B9*ASSUMPTIONS!B7*1.1+ASSUMPTIONS!B11)</f>
        <v>18182840</v>
      </c>
      <c r="X14" s="58" t="n">
        <f aca="false">(ASSUMPTIONS!D19+ASSUMPTIONS!D20+ASSUMPTIONS!D21+ASSUMPTIONS!D22+ASSUMPTIONS!D23+ASSUMPTIONS!D24)*ASSUMPTIONS!D34*ASSUMPTIONS!B14*(ASSUMPTIONS!B10+ASSUMPTIONS!B9*ASSUMPTIONS!B7*1.1+ASSUMPTIONS!B11)</f>
        <v>20280860</v>
      </c>
      <c r="Y14" s="58" t="n">
        <f aca="false">(ASSUMPTIONS!D19+ASSUMPTIONS!D20+ASSUMPTIONS!D21+ASSUMPTIONS!D22+ASSUMPTIONS!D23+ASSUMPTIONS!D24+ASSUMPTIONS!D25)*ASSUMPTIONS!D35*ASSUMPTIONS!B14*(ASSUMPTIONS!B10+ASSUMPTIONS!B9*ASSUMPTIONS!B7*1.1+ASSUMPTIONS!B11)</f>
        <v>22378880</v>
      </c>
    </row>
    <row r="15" customFormat="false" ht="15" hidden="false" customHeight="false" outlineLevel="0" collapsed="false">
      <c r="A15" s="55" t="s">
        <v>168</v>
      </c>
      <c r="C15" s="56" t="n">
        <f aca="false">(ASSUMPTIONS!B19)*ASSUMPTIONS!B48</f>
        <v>4250</v>
      </c>
      <c r="D15" s="56" t="n">
        <f aca="false">(ASSUMPTIONS!B19+ASSUMPTIONS!B20)*ASSUMPTIONS!B48</f>
        <v>12750</v>
      </c>
      <c r="E15" s="56" t="n">
        <f aca="false">(ASSUMPTIONS!B19+ASSUMPTIONS!B20+ASSUMPTIONS!B21)*ASSUMPTIONS!B48</f>
        <v>19125</v>
      </c>
      <c r="F15" s="56" t="n">
        <f aca="false">(ASSUMPTIONS!B19+ASSUMPTIONS!B20+ASSUMPTIONS!B21+ASSUMPTIONS!B22)*ASSUMPTIONS!B48</f>
        <v>23375</v>
      </c>
      <c r="G15" s="56" t="n">
        <f aca="false">(ASSUMPTIONS!B19+ASSUMPTIONS!B20+ASSUMPTIONS!B21+ASSUMPTIONS!B22+ASSUMPTIONS!B23)*ASSUMPTIONS!B48</f>
        <v>27625</v>
      </c>
      <c r="H15" s="56" t="n">
        <f aca="false">(ASSUMPTIONS!B19+ASSUMPTIONS!B20+ASSUMPTIONS!B21+ASSUMPTIONS!B22+ASSUMPTIONS!B23+ASSUMPTIONS!B24)*ASSUMPTIONS!B48</f>
        <v>29750</v>
      </c>
      <c r="I15" s="56" t="n">
        <f aca="false">(ASSUMPTIONS!B19+ASSUMPTIONS!B20+ASSUMPTIONS!B21+ASSUMPTIONS!B22+ASSUMPTIONS!B23+ASSUMPTIONS!B24+ASSUMPTIONS!B25)*ASSUMPTIONS!B48</f>
        <v>31875</v>
      </c>
      <c r="K15" s="57" t="n">
        <f aca="false">(ASSUMPTIONS!C19)*ASSUMPTIONS!B48</f>
        <v>8500</v>
      </c>
      <c r="L15" s="57" t="n">
        <f aca="false">(ASSUMPTIONS!C19+ASSUMPTIONS!C20)*ASSUMPTIONS!B48</f>
        <v>25500</v>
      </c>
      <c r="M15" s="57" t="n">
        <f aca="false">(ASSUMPTIONS!C19+ASSUMPTIONS!C20+ASSUMPTIONS!C21)*ASSUMPTIONS!B48</f>
        <v>38250</v>
      </c>
      <c r="N15" s="57" t="n">
        <f aca="false">(ASSUMPTIONS!C19+ASSUMPTIONS!C20+ASSUMPTIONS!C21+ASSUMPTIONS!C22)*ASSUMPTIONS!B48</f>
        <v>46750</v>
      </c>
      <c r="O15" s="57" t="n">
        <f aca="false">(ASSUMPTIONS!C19+ASSUMPTIONS!C20+ASSUMPTIONS!C21+ASSUMPTIONS!C22+ASSUMPTIONS!C23)*ASSUMPTIONS!B48</f>
        <v>55250</v>
      </c>
      <c r="P15" s="57" t="n">
        <f aca="false">(ASSUMPTIONS!C19+ASSUMPTIONS!C20+ASSUMPTIONS!C21+ASSUMPTIONS!C22+ASSUMPTIONS!C23+ASSUMPTIONS!C24)*ASSUMPTIONS!B48</f>
        <v>61625</v>
      </c>
      <c r="Q15" s="57" t="n">
        <f aca="false">(ASSUMPTIONS!C19+ASSUMPTIONS!C20+ASSUMPTIONS!C21+ASSUMPTIONS!C22+ASSUMPTIONS!C23+ASSUMPTIONS!C24+ASSUMPTIONS!C25)*ASSUMPTIONS!B48</f>
        <v>68000</v>
      </c>
      <c r="S15" s="58" t="n">
        <f aca="false">(ASSUMPTIONS!D19)*ASSUMPTIONS!B48</f>
        <v>17000</v>
      </c>
      <c r="T15" s="58" t="n">
        <f aca="false">(ASSUMPTIONS!D19+ASSUMPTIONS!D20)*ASSUMPTIONS!B48</f>
        <v>51000</v>
      </c>
      <c r="U15" s="58" t="n">
        <f aca="false">(ASSUMPTIONS!D19+ASSUMPTIONS!D20+ASSUMPTIONS!D21)*ASSUMPTIONS!B48</f>
        <v>76500</v>
      </c>
      <c r="V15" s="58" t="n">
        <f aca="false">(ASSUMPTIONS!D19+ASSUMPTIONS!D20+ASSUMPTIONS!D21+ASSUMPTIONS!D22)*ASSUMPTIONS!B48</f>
        <v>93500</v>
      </c>
      <c r="W15" s="58" t="n">
        <f aca="false">(ASSUMPTIONS!D19+ASSUMPTIONS!D20+ASSUMPTIONS!D21+ASSUMPTIONS!D22+ASSUMPTIONS!D23)*ASSUMPTIONS!B48</f>
        <v>110500</v>
      </c>
      <c r="X15" s="58" t="n">
        <f aca="false">(ASSUMPTIONS!D19+ASSUMPTIONS!D20+ASSUMPTIONS!D21+ASSUMPTIONS!D22+ASSUMPTIONS!D23+ASSUMPTIONS!D24)*ASSUMPTIONS!B48</f>
        <v>123250</v>
      </c>
      <c r="Y15" s="58" t="n">
        <f aca="false">(ASSUMPTIONS!D19+ASSUMPTIONS!D20+ASSUMPTIONS!D21+ASSUMPTIONS!D22+ASSUMPTIONS!D23+ASSUMPTIONS!D24+ASSUMPTIONS!D25)*ASSUMPTIONS!B48</f>
        <v>136000</v>
      </c>
    </row>
    <row r="16" customFormat="false" ht="15" hidden="false" customHeight="false" outlineLevel="0" collapsed="false">
      <c r="A16" s="55" t="s">
        <v>169</v>
      </c>
      <c r="C16" s="56" t="n">
        <f aca="false">ASSUMPTIONS!B49</f>
        <v>14400</v>
      </c>
      <c r="D16" s="56" t="n">
        <f aca="false">ASSUMPTIONS!B49</f>
        <v>14400</v>
      </c>
      <c r="E16" s="56" t="n">
        <f aca="false">ASSUMPTIONS!B49</f>
        <v>14400</v>
      </c>
      <c r="F16" s="56" t="n">
        <f aca="false">ASSUMPTIONS!B49</f>
        <v>14400</v>
      </c>
      <c r="G16" s="56" t="n">
        <f aca="false">ASSUMPTIONS!B49</f>
        <v>14400</v>
      </c>
      <c r="H16" s="56" t="n">
        <f aca="false">ASSUMPTIONS!B49</f>
        <v>14400</v>
      </c>
      <c r="I16" s="56" t="n">
        <f aca="false">ASSUMPTIONS!B49</f>
        <v>14400</v>
      </c>
      <c r="K16" s="57" t="n">
        <f aca="false">ASSUMPTIONS!B49</f>
        <v>14400</v>
      </c>
      <c r="L16" s="57" t="n">
        <f aca="false">ASSUMPTIONS!B49</f>
        <v>14400</v>
      </c>
      <c r="M16" s="57" t="n">
        <f aca="false">ASSUMPTIONS!B49</f>
        <v>14400</v>
      </c>
      <c r="N16" s="57" t="n">
        <f aca="false">ASSUMPTIONS!B49</f>
        <v>14400</v>
      </c>
      <c r="O16" s="57" t="n">
        <f aca="false">ASSUMPTIONS!B49</f>
        <v>14400</v>
      </c>
      <c r="P16" s="57" t="n">
        <f aca="false">ASSUMPTIONS!B49</f>
        <v>14400</v>
      </c>
      <c r="Q16" s="57" t="n">
        <f aca="false">ASSUMPTIONS!B49</f>
        <v>14400</v>
      </c>
      <c r="S16" s="58" t="n">
        <f aca="false">ASSUMPTIONS!B49</f>
        <v>14400</v>
      </c>
      <c r="T16" s="58" t="n">
        <f aca="false">ASSUMPTIONS!B49</f>
        <v>14400</v>
      </c>
      <c r="U16" s="58" t="n">
        <f aca="false">ASSUMPTIONS!B49</f>
        <v>14400</v>
      </c>
      <c r="V16" s="58" t="n">
        <f aca="false">ASSUMPTIONS!B49</f>
        <v>14400</v>
      </c>
      <c r="W16" s="58" t="n">
        <f aca="false">ASSUMPTIONS!B49</f>
        <v>14400</v>
      </c>
      <c r="X16" s="58" t="n">
        <f aca="false">ASSUMPTIONS!B49</f>
        <v>14400</v>
      </c>
      <c r="Y16" s="58" t="n">
        <f aca="false">ASSUMPTIONS!B49</f>
        <v>14400</v>
      </c>
    </row>
    <row r="17" customFormat="false" ht="15" hidden="false" customHeight="false" outlineLevel="0" collapsed="false">
      <c r="A17" s="62" t="s">
        <v>170</v>
      </c>
      <c r="C17" s="63" t="n">
        <f aca="false">C13+C14+C15+C16</f>
        <v>155281</v>
      </c>
      <c r="D17" s="63" t="n">
        <f aca="false">D13+D14+D15+D16</f>
        <v>504428.75</v>
      </c>
      <c r="E17" s="63" t="n">
        <f aca="false">E13+E14+E15+E16</f>
        <v>995259</v>
      </c>
      <c r="F17" s="63" t="n">
        <f aca="false">F13+F14+F15+F16</f>
        <v>1491913.75</v>
      </c>
      <c r="G17" s="63" t="n">
        <f aca="false">G13+G14+G15+G16</f>
        <v>1758416.25</v>
      </c>
      <c r="H17" s="63" t="n">
        <f aca="false">H13+H14+H15+H16</f>
        <v>1885792.5</v>
      </c>
      <c r="I17" s="63" t="n">
        <f aca="false">I13+I14+I15+I16</f>
        <v>2019043.75</v>
      </c>
      <c r="K17" s="63" t="n">
        <f aca="false">K13+K14+K15+K16</f>
        <v>500178.75</v>
      </c>
      <c r="L17" s="63" t="n">
        <f aca="false">L13+L14+L15+L16</f>
        <v>1660743.5</v>
      </c>
      <c r="M17" s="63" t="n">
        <f aca="false">M13+M14+M15+M16</f>
        <v>3549633</v>
      </c>
      <c r="N17" s="63" t="n">
        <f aca="false">N13+N14+N15+N16</f>
        <v>4892612.5</v>
      </c>
      <c r="O17" s="63" t="n">
        <f aca="false">O13+O14+O15+O16</f>
        <v>5775287.5</v>
      </c>
      <c r="P17" s="63" t="n">
        <f aca="false">P13+P14+P15+P16</f>
        <v>6431418.75</v>
      </c>
      <c r="Q17" s="63" t="n">
        <f aca="false">Q13+Q14+Q15+Q16</f>
        <v>7093425</v>
      </c>
      <c r="S17" s="63" t="n">
        <f aca="false">S13+S14+S15+S16</f>
        <v>1535662.5</v>
      </c>
      <c r="T17" s="63" t="n">
        <f aca="false">T13+T14+T15+T16</f>
        <v>5405545</v>
      </c>
      <c r="U17" s="63" t="n">
        <f aca="false">U13+U14+U15+U16</f>
        <v>11176005</v>
      </c>
      <c r="V17" s="63" t="n">
        <f aca="false">V13+V14+V15+V16</f>
        <v>15540380</v>
      </c>
      <c r="W17" s="63" t="n">
        <f aca="false">W13+W14+W15+W16</f>
        <v>18354740</v>
      </c>
      <c r="X17" s="63" t="n">
        <f aca="false">X13+X14+X15+X16</f>
        <v>20453760</v>
      </c>
      <c r="Y17" s="63" t="n">
        <f aca="false">Y13+Y14+Y15+Y16</f>
        <v>22564530</v>
      </c>
    </row>
    <row r="18" customFormat="false" ht="15" hidden="false" customHeight="false" outlineLevel="0" collapsed="false">
      <c r="A18" s="64" t="s">
        <v>171</v>
      </c>
      <c r="C18" s="65" t="n">
        <f aca="false">C10-C17</f>
        <v>507602.8</v>
      </c>
      <c r="D18" s="65" t="n">
        <f aca="false">D10-D17</f>
        <v>1981385.5</v>
      </c>
      <c r="E18" s="65" t="n">
        <f aca="false">E10-E17</f>
        <v>5171644.4</v>
      </c>
      <c r="F18" s="65" t="n">
        <f aca="false">F10-F17</f>
        <v>7888772</v>
      </c>
      <c r="G18" s="65" t="n">
        <f aca="false">G10-G17</f>
        <v>9330576</v>
      </c>
      <c r="H18" s="65" t="n">
        <f aca="false">H10-H17</f>
        <v>10078353</v>
      </c>
      <c r="I18" s="65" t="n">
        <f aca="false">I10-I17</f>
        <v>10827455</v>
      </c>
      <c r="K18" s="65" t="n">
        <f aca="false">K10-K17</f>
        <v>1985635.5</v>
      </c>
      <c r="L18" s="65" t="n">
        <f aca="false">L10-L17</f>
        <v>7288187.8</v>
      </c>
      <c r="M18" s="65" t="n">
        <f aca="false">M10-M17</f>
        <v>19004012.8</v>
      </c>
      <c r="N18" s="65" t="n">
        <f aca="false">N10-N17</f>
        <v>26436340</v>
      </c>
      <c r="O18" s="65" t="n">
        <f aca="false">O10-O17</f>
        <v>31372020</v>
      </c>
      <c r="P18" s="65" t="n">
        <f aca="false">P10-P17</f>
        <v>35225255</v>
      </c>
      <c r="Q18" s="65" t="n">
        <f aca="false">Q10-Q17</f>
        <v>39198055</v>
      </c>
      <c r="S18" s="65" t="n">
        <f aca="false">S10-S17</f>
        <v>6750385</v>
      </c>
      <c r="T18" s="65" t="n">
        <f aca="false">T10-T17</f>
        <v>24424226</v>
      </c>
      <c r="U18" s="65" t="n">
        <f aca="false">U10-U17</f>
        <v>60812868</v>
      </c>
      <c r="V18" s="65" t="n">
        <f aca="false">V10-V17</f>
        <v>85320268</v>
      </c>
      <c r="W18" s="65" t="n">
        <f aca="false">W10-W17</f>
        <v>101847844</v>
      </c>
      <c r="X18" s="65" t="n">
        <f aca="false">X10-X17</f>
        <v>115479276</v>
      </c>
      <c r="Y18" s="65" t="n">
        <f aca="false">Y10-Y17</f>
        <v>130481358</v>
      </c>
    </row>
    <row r="19" customFormat="false" ht="15" hidden="false" customHeight="false" outlineLevel="0" collapsed="false">
      <c r="A19" s="66" t="s">
        <v>172</v>
      </c>
      <c r="C19" s="67" t="n">
        <f aca="false">IFERROR(C18/C10,"-")</f>
        <v>0.765749291203074</v>
      </c>
      <c r="D19" s="67" t="n">
        <f aca="false">IFERROR(D18/D10,"-")</f>
        <v>0.797077054329381</v>
      </c>
      <c r="E19" s="67" t="n">
        <f aca="false">IFERROR(E18/E10,"-")</f>
        <v>0.838612844170707</v>
      </c>
      <c r="F19" s="67" t="n">
        <f aca="false">IFERROR(F18/F10,"-")</f>
        <v>0.840958988525972</v>
      </c>
      <c r="G19" s="67" t="n">
        <f aca="false">IFERROR(G18/G10,"-")</f>
        <v>0.841426866359294</v>
      </c>
      <c r="H19" s="67" t="n">
        <f aca="false">IFERROR(H18/H10,"-")</f>
        <v>0.842379675171954</v>
      </c>
      <c r="I19" s="67" t="n">
        <f aca="false">IFERROR(I18/I10,"-")</f>
        <v>0.842833149382434</v>
      </c>
      <c r="K19" s="67" t="n">
        <f aca="false">IFERROR(K18/K10,"-")</f>
        <v>0.798786755687799</v>
      </c>
      <c r="L19" s="67" t="n">
        <f aca="false">IFERROR(L18/L10,"-")</f>
        <v>0.814419907324576</v>
      </c>
      <c r="M19" s="67" t="n">
        <f aca="false">IFERROR(M18/M10,"-")</f>
        <v>0.842613782646174</v>
      </c>
      <c r="N19" s="67" t="n">
        <f aca="false">IFERROR(N18/N10,"-")</f>
        <v>0.84383095796133</v>
      </c>
      <c r="O19" s="67" t="n">
        <f aca="false">IFERROR(O18/O10,"-")</f>
        <v>0.84453011836726</v>
      </c>
      <c r="P19" s="67" t="n">
        <f aca="false">IFERROR(P18/P10,"-")</f>
        <v>0.845608922387856</v>
      </c>
      <c r="Q19" s="67" t="n">
        <f aca="false">IFERROR(Q18/Q10,"-")</f>
        <v>0.846766078768707</v>
      </c>
      <c r="S19" s="67" t="n">
        <f aca="false">IFERROR(S18/S10,"-")</f>
        <v>0.814668875600822</v>
      </c>
      <c r="T19" s="67" t="n">
        <f aca="false">IFERROR(T18/T10,"-")</f>
        <v>0.818786909225686</v>
      </c>
      <c r="U19" s="67" t="n">
        <f aca="false">IFERROR(U18/U10,"-")</f>
        <v>0.844753716313909</v>
      </c>
      <c r="V19" s="67" t="n">
        <f aca="false">IFERROR(V18/V10,"-")</f>
        <v>0.845922266928128</v>
      </c>
      <c r="W19" s="67" t="n">
        <f aca="false">IFERROR(W18/W10,"-")</f>
        <v>0.847301618740576</v>
      </c>
      <c r="X19" s="67" t="n">
        <f aca="false">IFERROR(X18/X10,"-")</f>
        <v>0.84953061741371</v>
      </c>
      <c r="Y19" s="67" t="n">
        <f aca="false">IFERROR(Y18/Y10,"-")</f>
        <v>0.852563631111736</v>
      </c>
    </row>
    <row r="21" customFormat="false" ht="15" hidden="false" customHeight="false" outlineLevel="0" collapsed="false">
      <c r="A21" s="19" t="s">
        <v>173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customFormat="false" ht="15" hidden="false" customHeight="false" outlineLevel="0" collapsed="false">
      <c r="A22" s="55" t="s">
        <v>174</v>
      </c>
      <c r="C22" s="56" t="n">
        <f aca="false">ASSUMPTIONS!B50</f>
        <v>15000</v>
      </c>
      <c r="D22" s="56" t="n">
        <f aca="false">ASSUMPTIONS!B51</f>
        <v>285000</v>
      </c>
      <c r="E22" s="56" t="n">
        <f aca="false">ASSUMPTIONS!B52</f>
        <v>520000</v>
      </c>
      <c r="F22" s="56" t="n">
        <f aca="false">ASSUMPTIONS!B53</f>
        <v>600000</v>
      </c>
      <c r="G22" s="56" t="n">
        <f aca="false">ASSUMPTIONS!B53</f>
        <v>600000</v>
      </c>
      <c r="H22" s="56" t="n">
        <f aca="false">ASSUMPTIONS!B53</f>
        <v>600000</v>
      </c>
      <c r="I22" s="56" t="n">
        <f aca="false">ASSUMPTIONS!B53</f>
        <v>600000</v>
      </c>
      <c r="K22" s="57" t="n">
        <f aca="false">ASSUMPTIONS!B50</f>
        <v>15000</v>
      </c>
      <c r="L22" s="57" t="n">
        <f aca="false">ASSUMPTIONS!B51</f>
        <v>285000</v>
      </c>
      <c r="M22" s="57" t="n">
        <f aca="false">ASSUMPTIONS!B52</f>
        <v>520000</v>
      </c>
      <c r="N22" s="57" t="n">
        <f aca="false">ASSUMPTIONS!B53</f>
        <v>600000</v>
      </c>
      <c r="O22" s="57" t="n">
        <f aca="false">ASSUMPTIONS!B53</f>
        <v>600000</v>
      </c>
      <c r="P22" s="57" t="n">
        <f aca="false">ASSUMPTIONS!B53</f>
        <v>600000</v>
      </c>
      <c r="Q22" s="57" t="n">
        <f aca="false">ASSUMPTIONS!B53</f>
        <v>600000</v>
      </c>
      <c r="S22" s="58" t="n">
        <f aca="false">ASSUMPTIONS!B50</f>
        <v>15000</v>
      </c>
      <c r="T22" s="58" t="n">
        <f aca="false">ASSUMPTIONS!B51</f>
        <v>285000</v>
      </c>
      <c r="U22" s="58" t="n">
        <f aca="false">ASSUMPTIONS!B52</f>
        <v>520000</v>
      </c>
      <c r="V22" s="58" t="n">
        <f aca="false">ASSUMPTIONS!B53</f>
        <v>600000</v>
      </c>
      <c r="W22" s="58" t="n">
        <f aca="false">ASSUMPTIONS!B53</f>
        <v>600000</v>
      </c>
      <c r="X22" s="58" t="n">
        <f aca="false">ASSUMPTIONS!B53</f>
        <v>600000</v>
      </c>
      <c r="Y22" s="58" t="n">
        <f aca="false">ASSUMPTIONS!B53</f>
        <v>600000</v>
      </c>
    </row>
    <row r="23" customFormat="false" ht="15" hidden="false" customHeight="false" outlineLevel="0" collapsed="false">
      <c r="A23" s="55" t="s">
        <v>175</v>
      </c>
      <c r="C23" s="56" t="n">
        <f aca="false">C10*ASSUMPTIONS!B54</f>
        <v>99432.57</v>
      </c>
      <c r="D23" s="56" t="n">
        <f aca="false">D10*ASSUMPTIONS!B54</f>
        <v>372872.1375</v>
      </c>
      <c r="E23" s="56" t="n">
        <f aca="false">E10*ASSUMPTIONS!B54</f>
        <v>925035.51</v>
      </c>
      <c r="F23" s="56" t="n">
        <f aca="false">F10*ASSUMPTIONS!B54</f>
        <v>1407102.8625</v>
      </c>
      <c r="G23" s="56" t="n">
        <f aca="false">G10*ASSUMPTIONS!B54</f>
        <v>1663348.8375</v>
      </c>
      <c r="H23" s="56" t="n">
        <f aca="false">H10*ASSUMPTIONS!B54</f>
        <v>1794621.825</v>
      </c>
      <c r="I23" s="56" t="n">
        <f aca="false">I10*ASSUMPTIONS!B54</f>
        <v>1926974.8125</v>
      </c>
      <c r="K23" s="57" t="n">
        <f aca="false">K10*ASSUMPTIONS!B54</f>
        <v>372872.1375</v>
      </c>
      <c r="L23" s="57" t="n">
        <f aca="false">L10*ASSUMPTIONS!B54</f>
        <v>1342339.695</v>
      </c>
      <c r="M23" s="57" t="n">
        <f aca="false">M10*ASSUMPTIONS!B54</f>
        <v>3383046.87</v>
      </c>
      <c r="N23" s="57" t="n">
        <f aca="false">N10*ASSUMPTIONS!B54</f>
        <v>4699342.875</v>
      </c>
      <c r="O23" s="57" t="n">
        <f aca="false">O10*ASSUMPTIONS!B54</f>
        <v>5572096.125</v>
      </c>
      <c r="P23" s="57" t="n">
        <f aca="false">P10*ASSUMPTIONS!B54</f>
        <v>6248501.0625</v>
      </c>
      <c r="Q23" s="57" t="n">
        <f aca="false">Q10*ASSUMPTIONS!B54</f>
        <v>6943722</v>
      </c>
      <c r="S23" s="58" t="n">
        <f aca="false">S10*ASSUMPTIONS!B54</f>
        <v>1242907.125</v>
      </c>
      <c r="T23" s="58" t="n">
        <f aca="false">T10*ASSUMPTIONS!B54</f>
        <v>4474465.65</v>
      </c>
      <c r="U23" s="58" t="n">
        <f aca="false">U10*ASSUMPTIONS!B54</f>
        <v>10798330.95</v>
      </c>
      <c r="V23" s="58" t="n">
        <f aca="false">V10*ASSUMPTIONS!B54</f>
        <v>15129097.2</v>
      </c>
      <c r="W23" s="58" t="n">
        <f aca="false">W10*ASSUMPTIONS!B54</f>
        <v>18030387.6</v>
      </c>
      <c r="X23" s="58" t="n">
        <f aca="false">X10*ASSUMPTIONS!B54</f>
        <v>20389955.4</v>
      </c>
      <c r="Y23" s="58" t="n">
        <f aca="false">Y10*ASSUMPTIONS!B54</f>
        <v>22956883.2</v>
      </c>
    </row>
    <row r="24" customFormat="false" ht="15" hidden="false" customHeight="false" outlineLevel="0" collapsed="false">
      <c r="A24" s="55" t="s">
        <v>176</v>
      </c>
      <c r="C24" s="56" t="n">
        <f aca="false">ASSUMPTIONS!B55</f>
        <v>50000</v>
      </c>
      <c r="D24" s="56" t="n">
        <f aca="false">ASSUMPTIONS!B55*(1.1)^1</f>
        <v>55000</v>
      </c>
      <c r="E24" s="56" t="n">
        <f aca="false">ASSUMPTIONS!B55*(1.1)^2</f>
        <v>60500</v>
      </c>
      <c r="F24" s="56" t="n">
        <f aca="false">ASSUMPTIONS!B55*(1.1)^3</f>
        <v>66550</v>
      </c>
      <c r="G24" s="56" t="n">
        <f aca="false">ASSUMPTIONS!B55*(1.1)^4</f>
        <v>73205</v>
      </c>
      <c r="H24" s="56" t="n">
        <f aca="false">ASSUMPTIONS!B55*(1.1)^5</f>
        <v>80525.5</v>
      </c>
      <c r="I24" s="56" t="n">
        <f aca="false">ASSUMPTIONS!B55*(1.1)^6</f>
        <v>88578.0500000001</v>
      </c>
      <c r="K24" s="57" t="n">
        <f aca="false">ASSUMPTIONS!B55</f>
        <v>50000</v>
      </c>
      <c r="L24" s="57" t="n">
        <f aca="false">ASSUMPTIONS!B55*(1.1)^1</f>
        <v>55000</v>
      </c>
      <c r="M24" s="57" t="n">
        <f aca="false">ASSUMPTIONS!B55*(1.1)^2</f>
        <v>60500</v>
      </c>
      <c r="N24" s="57" t="n">
        <f aca="false">ASSUMPTIONS!B55*(1.1)^3</f>
        <v>66550</v>
      </c>
      <c r="O24" s="57" t="n">
        <f aca="false">ASSUMPTIONS!B55*(1.1)^4</f>
        <v>73205</v>
      </c>
      <c r="P24" s="57" t="n">
        <f aca="false">ASSUMPTIONS!B55*(1.1)^5</f>
        <v>80525.5</v>
      </c>
      <c r="Q24" s="57" t="n">
        <f aca="false">ASSUMPTIONS!B55*(1.1)^6</f>
        <v>88578.0500000001</v>
      </c>
      <c r="S24" s="58" t="n">
        <f aca="false">ASSUMPTIONS!B55</f>
        <v>50000</v>
      </c>
      <c r="T24" s="58" t="n">
        <f aca="false">ASSUMPTIONS!B55*(1.1)^1</f>
        <v>55000</v>
      </c>
      <c r="U24" s="58" t="n">
        <f aca="false">ASSUMPTIONS!B55*(1.1)^2</f>
        <v>60500</v>
      </c>
      <c r="V24" s="58" t="n">
        <f aca="false">ASSUMPTIONS!B55*(1.1)^3</f>
        <v>66550</v>
      </c>
      <c r="W24" s="58" t="n">
        <f aca="false">ASSUMPTIONS!B55*(1.1)^4</f>
        <v>73205</v>
      </c>
      <c r="X24" s="58" t="n">
        <f aca="false">ASSUMPTIONS!B55*(1.1)^5</f>
        <v>80525.5</v>
      </c>
      <c r="Y24" s="58" t="n">
        <f aca="false">ASSUMPTIONS!B55*(1.1)^6</f>
        <v>88578.0500000001</v>
      </c>
    </row>
    <row r="25" customFormat="false" ht="15" hidden="false" customHeight="false" outlineLevel="0" collapsed="false">
      <c r="A25" s="62" t="s">
        <v>177</v>
      </c>
      <c r="C25" s="63" t="n">
        <f aca="false">C22+C23+C24</f>
        <v>164432.57</v>
      </c>
      <c r="D25" s="63" t="n">
        <f aca="false">D22+D23+D24</f>
        <v>712872.1375</v>
      </c>
      <c r="E25" s="63" t="n">
        <f aca="false">E22+E23+E24</f>
        <v>1505535.51</v>
      </c>
      <c r="F25" s="63" t="n">
        <f aca="false">F22+F23+F24</f>
        <v>2073652.8625</v>
      </c>
      <c r="G25" s="63" t="n">
        <f aca="false">G22+G23+G24</f>
        <v>2336553.8375</v>
      </c>
      <c r="H25" s="63" t="n">
        <f aca="false">H22+H23+H24</f>
        <v>2475147.325</v>
      </c>
      <c r="I25" s="63" t="n">
        <f aca="false">I22+I23+I24</f>
        <v>2615552.8625</v>
      </c>
      <c r="K25" s="63" t="n">
        <f aca="false">K22+K23+K24</f>
        <v>437872.1375</v>
      </c>
      <c r="L25" s="63" t="n">
        <f aca="false">L22+L23+L24</f>
        <v>1682339.695</v>
      </c>
      <c r="M25" s="63" t="n">
        <f aca="false">M22+M23+M24</f>
        <v>3963546.87</v>
      </c>
      <c r="N25" s="63" t="n">
        <f aca="false">N22+N23+N24</f>
        <v>5365892.875</v>
      </c>
      <c r="O25" s="63" t="n">
        <f aca="false">O22+O23+O24</f>
        <v>6245301.125</v>
      </c>
      <c r="P25" s="63" t="n">
        <f aca="false">P22+P23+P24</f>
        <v>6929026.5625</v>
      </c>
      <c r="Q25" s="63" t="n">
        <f aca="false">Q22+Q23+Q24</f>
        <v>7632300.05</v>
      </c>
      <c r="S25" s="63" t="n">
        <f aca="false">S22+S23+S24</f>
        <v>1307907.125</v>
      </c>
      <c r="T25" s="63" t="n">
        <f aca="false">T22+T23+T24</f>
        <v>4814465.65</v>
      </c>
      <c r="U25" s="63" t="n">
        <f aca="false">U22+U23+U24</f>
        <v>11378830.95</v>
      </c>
      <c r="V25" s="63" t="n">
        <f aca="false">V22+V23+V24</f>
        <v>15795647.2</v>
      </c>
      <c r="W25" s="63" t="n">
        <f aca="false">W22+W23+W24</f>
        <v>18703592.6</v>
      </c>
      <c r="X25" s="63" t="n">
        <f aca="false">X22+X23+X24</f>
        <v>21070480.9</v>
      </c>
      <c r="Y25" s="63" t="n">
        <f aca="false">Y22+Y23+Y24</f>
        <v>23645461.25</v>
      </c>
    </row>
    <row r="26" customFormat="false" ht="15" hidden="false" customHeight="false" outlineLevel="0" collapsed="false">
      <c r="A26" s="64" t="s">
        <v>178</v>
      </c>
      <c r="C26" s="65" t="n">
        <f aca="false">C18-C25</f>
        <v>343170.23</v>
      </c>
      <c r="D26" s="65" t="n">
        <f aca="false">D18-D25</f>
        <v>1268513.3625</v>
      </c>
      <c r="E26" s="65" t="n">
        <f aca="false">E18-E25</f>
        <v>3666108.89</v>
      </c>
      <c r="F26" s="65" t="n">
        <f aca="false">F18-F25</f>
        <v>5815119.1375</v>
      </c>
      <c r="G26" s="65" t="n">
        <f aca="false">G18-G25</f>
        <v>6994022.1625</v>
      </c>
      <c r="H26" s="65" t="n">
        <f aca="false">H18-H25</f>
        <v>7603205.675</v>
      </c>
      <c r="I26" s="65" t="n">
        <f aca="false">I18-I25</f>
        <v>8211902.1375</v>
      </c>
      <c r="K26" s="65" t="n">
        <f aca="false">K18-K25</f>
        <v>1547763.3625</v>
      </c>
      <c r="L26" s="65" t="n">
        <f aca="false">L18-L25</f>
        <v>5605848.105</v>
      </c>
      <c r="M26" s="65" t="n">
        <f aca="false">M18-M25</f>
        <v>15040465.93</v>
      </c>
      <c r="N26" s="65" t="n">
        <f aca="false">N18-N25</f>
        <v>21070447.125</v>
      </c>
      <c r="O26" s="65" t="n">
        <f aca="false">O18-O25</f>
        <v>25126718.875</v>
      </c>
      <c r="P26" s="65" t="n">
        <f aca="false">P18-P25</f>
        <v>28296228.4375</v>
      </c>
      <c r="Q26" s="65" t="n">
        <f aca="false">Q18-Q25</f>
        <v>31565754.95</v>
      </c>
      <c r="S26" s="65" t="n">
        <f aca="false">S18-S25</f>
        <v>5442477.875</v>
      </c>
      <c r="T26" s="65" t="n">
        <f aca="false">T18-T25</f>
        <v>19609760.35</v>
      </c>
      <c r="U26" s="65" t="n">
        <f aca="false">U18-U25</f>
        <v>49434037.05</v>
      </c>
      <c r="V26" s="65" t="n">
        <f aca="false">V18-V25</f>
        <v>69524620.8</v>
      </c>
      <c r="W26" s="65" t="n">
        <f aca="false">W18-W25</f>
        <v>83144251.4</v>
      </c>
      <c r="X26" s="65" t="n">
        <f aca="false">X18-X25</f>
        <v>94408795.1</v>
      </c>
      <c r="Y26" s="65" t="n">
        <f aca="false">Y18-Y25</f>
        <v>106835896.75</v>
      </c>
    </row>
    <row r="27" customFormat="false" ht="15" hidden="false" customHeight="false" outlineLevel="0" collapsed="false">
      <c r="A27" s="66" t="s">
        <v>179</v>
      </c>
      <c r="C27" s="67" t="n">
        <f aca="false">IFERROR(C26/C10,"-")</f>
        <v>0.51769288976439</v>
      </c>
      <c r="D27" s="67" t="n">
        <f aca="false">IFERROR(D26/D10,"-")</f>
        <v>0.510300945655936</v>
      </c>
      <c r="E27" s="67" t="n">
        <f aca="false">IFERROR(E26/E10,"-")</f>
        <v>0.594481322668359</v>
      </c>
      <c r="F27" s="67" t="n">
        <f aca="false">IFERROR(F26/F10,"-")</f>
        <v>0.619903415643147</v>
      </c>
      <c r="G27" s="67" t="n">
        <f aca="false">IFERROR(G26/G10,"-")</f>
        <v>0.630717562499875</v>
      </c>
      <c r="H27" s="67" t="n">
        <f aca="false">IFERROR(H26/H10,"-")</f>
        <v>0.635499265283927</v>
      </c>
      <c r="I27" s="67" t="n">
        <f aca="false">IFERROR(I26/I10,"-")</f>
        <v>0.639232704358454</v>
      </c>
      <c r="K27" s="67" t="n">
        <f aca="false">IFERROR(K26/K10,"-")</f>
        <v>0.622638381970817</v>
      </c>
      <c r="L27" s="67" t="n">
        <f aca="false">IFERROR(L26/L10,"-")</f>
        <v>0.626426543804175</v>
      </c>
      <c r="M27" s="67" t="n">
        <f aca="false">IFERROR(M26/M10,"-")</f>
        <v>0.666875150180819</v>
      </c>
      <c r="N27" s="67" t="n">
        <f aca="false">IFERROR(N26/N10,"-")</f>
        <v>0.672555110963254</v>
      </c>
      <c r="O27" s="67" t="n">
        <f aca="false">IFERROR(O26/O10,"-")</f>
        <v>0.676407539765836</v>
      </c>
      <c r="P27" s="67" t="n">
        <f aca="false">IFERROR(P26/P10,"-")</f>
        <v>0.679272392397869</v>
      </c>
      <c r="Q27" s="67" t="n">
        <f aca="false">IFERROR(Q26/Q10,"-")</f>
        <v>0.681891245430045</v>
      </c>
      <c r="S27" s="67" t="n">
        <f aca="false">IFERROR(S26/S10,"-")</f>
        <v>0.656824363485727</v>
      </c>
      <c r="T27" s="67" t="n">
        <f aca="false">IFERROR(T26/T10,"-")</f>
        <v>0.657388900169566</v>
      </c>
      <c r="U27" s="67" t="n">
        <f aca="false">IFERROR(U26/U10,"-")</f>
        <v>0.686689970129134</v>
      </c>
      <c r="V27" s="67" t="n">
        <f aca="false">IFERROR(V26/V10,"-")</f>
        <v>0.689313643909962</v>
      </c>
      <c r="W27" s="67" t="n">
        <f aca="false">IFERROR(W26/W10,"-")</f>
        <v>0.691701031984471</v>
      </c>
      <c r="X27" s="67" t="n">
        <f aca="false">IFERROR(X26/X10,"-")</f>
        <v>0.694524288415069</v>
      </c>
      <c r="Y27" s="67" t="n">
        <f aca="false">IFERROR(Y26/Y10,"-")</f>
        <v>0.698064470376362</v>
      </c>
    </row>
    <row r="29" customFormat="false" ht="15" hidden="false" customHeight="false" outlineLevel="0" collapsed="false">
      <c r="A29" s="68" t="s">
        <v>180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customFormat="false" ht="15" hidden="false" customHeight="false" outlineLevel="0" collapsed="false">
      <c r="A30" s="66" t="s">
        <v>181</v>
      </c>
      <c r="C30" s="69" t="n">
        <f aca="false">C26</f>
        <v>343170.23</v>
      </c>
      <c r="D30" s="69" t="n">
        <f aca="false">C30+D26</f>
        <v>1611683.5925</v>
      </c>
      <c r="E30" s="69" t="n">
        <f aca="false">D30+E26</f>
        <v>5277792.4825</v>
      </c>
      <c r="F30" s="69" t="n">
        <f aca="false">E30+F26</f>
        <v>11092911.62</v>
      </c>
      <c r="G30" s="69" t="n">
        <f aca="false">F30+G26</f>
        <v>18086933.7825</v>
      </c>
      <c r="H30" s="69" t="n">
        <f aca="false">G30+H26</f>
        <v>25690139.4575</v>
      </c>
      <c r="I30" s="69" t="n">
        <f aca="false">H30+I26</f>
        <v>33902041.595</v>
      </c>
      <c r="K30" s="69" t="n">
        <f aca="false">K26</f>
        <v>1547763.3625</v>
      </c>
      <c r="L30" s="69" t="n">
        <f aca="false">K30+L26</f>
        <v>7153611.4675</v>
      </c>
      <c r="M30" s="69" t="n">
        <f aca="false">L30+M26</f>
        <v>22194077.3975</v>
      </c>
      <c r="N30" s="69" t="n">
        <f aca="false">M30+N26</f>
        <v>43264524.5225</v>
      </c>
      <c r="O30" s="69" t="n">
        <f aca="false">N30+O26</f>
        <v>68391243.3975</v>
      </c>
      <c r="P30" s="69" t="n">
        <f aca="false">O30+P26</f>
        <v>96687471.835</v>
      </c>
      <c r="Q30" s="69" t="n">
        <f aca="false">P30+Q26</f>
        <v>128253226.785</v>
      </c>
      <c r="S30" s="69" t="n">
        <f aca="false">S26</f>
        <v>5442477.875</v>
      </c>
      <c r="T30" s="69" t="n">
        <f aca="false">S30+T26</f>
        <v>25052238.225</v>
      </c>
      <c r="U30" s="69" t="n">
        <f aca="false">T30+U26</f>
        <v>74486275.275</v>
      </c>
      <c r="V30" s="69" t="n">
        <f aca="false">U30+V26</f>
        <v>144010896.075</v>
      </c>
      <c r="W30" s="69" t="n">
        <f aca="false">V30+W26</f>
        <v>227155147.475</v>
      </c>
      <c r="X30" s="69" t="n">
        <f aca="false">W30+X26</f>
        <v>321563942.575</v>
      </c>
      <c r="Y30" s="69" t="n">
        <f aca="false">X30+Y26</f>
        <v>428399839.325</v>
      </c>
    </row>
    <row r="32" customFormat="false" ht="15" hidden="false" customHeight="false" outlineLevel="0" collapsed="false">
      <c r="A32" s="68" t="s">
        <v>182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customFormat="false" ht="15" hidden="false" customHeight="false" outlineLevel="0" collapsed="false">
      <c r="A33" s="66" t="s">
        <v>183</v>
      </c>
      <c r="C33" s="70" t="n">
        <f aca="false">ASSUMPTIONS!B19</f>
        <v>50</v>
      </c>
      <c r="D33" s="70" t="n">
        <f aca="false">ASSUMPTIONS!B19+ASSUMPTIONS!B20</f>
        <v>150</v>
      </c>
      <c r="E33" s="70" t="n">
        <f aca="false">ASSUMPTIONS!B19+ASSUMPTIONS!B20+ASSUMPTIONS!B21</f>
        <v>225</v>
      </c>
      <c r="F33" s="70" t="n">
        <f aca="false">ASSUMPTIONS!B19+ASSUMPTIONS!B20+ASSUMPTIONS!B21+ASSUMPTIONS!B22</f>
        <v>275</v>
      </c>
      <c r="G33" s="70" t="n">
        <f aca="false">ASSUMPTIONS!B19+ASSUMPTIONS!B20+ASSUMPTIONS!B21+ASSUMPTIONS!B22+ASSUMPTIONS!B23</f>
        <v>325</v>
      </c>
      <c r="H33" s="70" t="n">
        <f aca="false">ASSUMPTIONS!B19+ASSUMPTIONS!B20+ASSUMPTIONS!B21+ASSUMPTIONS!B22+ASSUMPTIONS!B23+ASSUMPTIONS!B24</f>
        <v>350</v>
      </c>
      <c r="I33" s="70" t="n">
        <f aca="false">ASSUMPTIONS!B19+ASSUMPTIONS!B20+ASSUMPTIONS!B21+ASSUMPTIONS!B22+ASSUMPTIONS!B23+ASSUMPTIONS!B24+ASSUMPTIONS!B25</f>
        <v>375</v>
      </c>
      <c r="K33" s="70" t="n">
        <f aca="false">ASSUMPTIONS!C19</f>
        <v>100</v>
      </c>
      <c r="L33" s="70" t="n">
        <f aca="false">ASSUMPTIONS!C19+ASSUMPTIONS!C20</f>
        <v>300</v>
      </c>
      <c r="M33" s="70" t="n">
        <f aca="false">ASSUMPTIONS!C19+ASSUMPTIONS!C20+ASSUMPTIONS!C21</f>
        <v>450</v>
      </c>
      <c r="N33" s="70" t="n">
        <f aca="false">ASSUMPTIONS!C19+ASSUMPTIONS!C20+ASSUMPTIONS!C21+ASSUMPTIONS!C22</f>
        <v>550</v>
      </c>
      <c r="O33" s="70" t="n">
        <f aca="false">ASSUMPTIONS!C19+ASSUMPTIONS!C20+ASSUMPTIONS!C21+ASSUMPTIONS!C22+ASSUMPTIONS!C23</f>
        <v>650</v>
      </c>
      <c r="P33" s="70" t="n">
        <f aca="false">ASSUMPTIONS!C19+ASSUMPTIONS!C20+ASSUMPTIONS!C21+ASSUMPTIONS!C22+ASSUMPTIONS!C23+ASSUMPTIONS!C24</f>
        <v>725</v>
      </c>
      <c r="Q33" s="70" t="n">
        <f aca="false">ASSUMPTIONS!C19+ASSUMPTIONS!C20+ASSUMPTIONS!C21+ASSUMPTIONS!C22+ASSUMPTIONS!C23+ASSUMPTIONS!C24+ASSUMPTIONS!C25</f>
        <v>800</v>
      </c>
      <c r="S33" s="70" t="n">
        <f aca="false">ASSUMPTIONS!D19</f>
        <v>200</v>
      </c>
      <c r="T33" s="70" t="n">
        <f aca="false">ASSUMPTIONS!D19+ASSUMPTIONS!D20</f>
        <v>600</v>
      </c>
      <c r="U33" s="70" t="n">
        <f aca="false">ASSUMPTIONS!D19+ASSUMPTIONS!D20+ASSUMPTIONS!D21</f>
        <v>900</v>
      </c>
      <c r="V33" s="70" t="n">
        <f aca="false">ASSUMPTIONS!D19+ASSUMPTIONS!D20+ASSUMPTIONS!D21+ASSUMPTIONS!D22</f>
        <v>1100</v>
      </c>
      <c r="W33" s="70" t="n">
        <f aca="false">ASSUMPTIONS!D19+ASSUMPTIONS!D20+ASSUMPTIONS!D21+ASSUMPTIONS!D22+ASSUMPTIONS!D23</f>
        <v>1300</v>
      </c>
      <c r="X33" s="70" t="n">
        <f aca="false">ASSUMPTIONS!D19+ASSUMPTIONS!D20+ASSUMPTIONS!D21+ASSUMPTIONS!D22+ASSUMPTIONS!D23+ASSUMPTIONS!D24</f>
        <v>1450</v>
      </c>
      <c r="Y33" s="70" t="n">
        <f aca="false">ASSUMPTIONS!D19+ASSUMPTIONS!D20+ASSUMPTIONS!D21+ASSUMPTIONS!D22+ASSUMPTIONS!D23+ASSUMPTIONS!D24+ASSUMPTIONS!D25</f>
        <v>1600</v>
      </c>
    </row>
    <row r="34" customFormat="false" ht="15" hidden="false" customHeight="false" outlineLevel="0" collapsed="false">
      <c r="A34" s="66" t="s">
        <v>184</v>
      </c>
      <c r="C34" s="70" t="n">
        <f aca="false">(ASSUMPTIONS!B19)*ASSUMPTIONS!B29*ASSUMPTIONS!B14</f>
        <v>146000</v>
      </c>
      <c r="D34" s="70" t="n">
        <f aca="false">(ASSUMPTIONS!B19+ASSUMPTIONS!B20)*ASSUMPTIONS!B30*ASSUMPTIONS!B14</f>
        <v>547500</v>
      </c>
      <c r="E34" s="70" t="n">
        <f aca="false">(ASSUMPTIONS!B19+ASSUMPTIONS!B20+ASSUMPTIONS!B21)*ASSUMPTIONS!B31*ASSUMPTIONS!B14</f>
        <v>985500</v>
      </c>
      <c r="F34" s="70" t="n">
        <f aca="false">(ASSUMPTIONS!B19+ASSUMPTIONS!B20+ASSUMPTIONS!B21+ASSUMPTIONS!B22)*ASSUMPTIONS!B32*ASSUMPTIONS!B14</f>
        <v>1505625</v>
      </c>
      <c r="G34" s="70" t="n">
        <f aca="false">(ASSUMPTIONS!B19+ASSUMPTIONS!B20+ASSUMPTIONS!B21+ASSUMPTIONS!B22+ASSUMPTIONS!B23)*ASSUMPTIONS!B33*ASSUMPTIONS!B14</f>
        <v>1779375</v>
      </c>
      <c r="H34" s="70" t="n">
        <f aca="false">(ASSUMPTIONS!B19+ASSUMPTIONS!B20+ASSUMPTIONS!B21+ASSUMPTIONS!B22+ASSUMPTIONS!B23+ASSUMPTIONS!B24)*ASSUMPTIONS!B34*ASSUMPTIONS!B14</f>
        <v>1916250</v>
      </c>
      <c r="I34" s="70" t="n">
        <f aca="false">(ASSUMPTIONS!B19+ASSUMPTIONS!B20+ASSUMPTIONS!B21+ASSUMPTIONS!B22+ASSUMPTIONS!B23+ASSUMPTIONS!B24+ASSUMPTIONS!B25)*ASSUMPTIONS!B35*ASSUMPTIONS!B14</f>
        <v>2053125</v>
      </c>
      <c r="K34" s="70" t="n">
        <f aca="false">(ASSUMPTIONS!C19)*ASSUMPTIONS!C29*ASSUMPTIONS!B14</f>
        <v>547500</v>
      </c>
      <c r="L34" s="70" t="n">
        <f aca="false">(ASSUMPTIONS!C19+ASSUMPTIONS!C20)*ASSUMPTIONS!C30*ASSUMPTIONS!B14</f>
        <v>1971000</v>
      </c>
      <c r="M34" s="70" t="n">
        <f aca="false">(ASSUMPTIONS!C19+ASSUMPTIONS!C20+ASSUMPTIONS!C21)*ASSUMPTIONS!C31*ASSUMPTIONS!B14</f>
        <v>3613500</v>
      </c>
      <c r="N34" s="70" t="n">
        <f aca="false">(ASSUMPTIONS!C19+ASSUMPTIONS!C20+ASSUMPTIONS!C21+ASSUMPTIONS!C22)*ASSUMPTIONS!C32*ASSUMPTIONS!B14</f>
        <v>5018750</v>
      </c>
      <c r="O34" s="70" t="n">
        <f aca="false">(ASSUMPTIONS!C19+ASSUMPTIONS!C20+ASSUMPTIONS!C21+ASSUMPTIONS!C22+ASSUMPTIONS!C23)*ASSUMPTIONS!C33*ASSUMPTIONS!B14</f>
        <v>5931250</v>
      </c>
      <c r="P34" s="70" t="n">
        <f aca="false">(ASSUMPTIONS!C19+ASSUMPTIONS!C20+ASSUMPTIONS!C21+ASSUMPTIONS!C22+ASSUMPTIONS!C23+ASSUMPTIONS!C24)*ASSUMPTIONS!C34*ASSUMPTIONS!B14</f>
        <v>6615625</v>
      </c>
      <c r="Q34" s="70" t="n">
        <f aca="false">(ASSUMPTIONS!C19+ASSUMPTIONS!C20+ASSUMPTIONS!C21+ASSUMPTIONS!C22+ASSUMPTIONS!C23+ASSUMPTIONS!C24+ASSUMPTIONS!C25)*ASSUMPTIONS!C35*ASSUMPTIONS!B14</f>
        <v>7300000</v>
      </c>
      <c r="S34" s="70" t="n">
        <f aca="false">(ASSUMPTIONS!D19)*ASSUMPTIONS!D29*ASSUMPTIONS!B14</f>
        <v>1825000</v>
      </c>
      <c r="T34" s="70" t="n">
        <f aca="false">(ASSUMPTIONS!D19+ASSUMPTIONS!D20)*ASSUMPTIONS!D30*ASSUMPTIONS!B14</f>
        <v>6570000</v>
      </c>
      <c r="U34" s="70" t="n">
        <f aca="false">(ASSUMPTIONS!D19+ASSUMPTIONS!D20+ASSUMPTIONS!D21)*ASSUMPTIONS!D31*ASSUMPTIONS!B14</f>
        <v>11497500</v>
      </c>
      <c r="V34" s="70" t="n">
        <f aca="false">(ASSUMPTIONS!D19+ASSUMPTIONS!D20+ASSUMPTIONS!D21+ASSUMPTIONS!D22)*ASSUMPTIONS!D32*ASSUMPTIONS!B14</f>
        <v>16060000</v>
      </c>
      <c r="W34" s="70" t="n">
        <f aca="false">(ASSUMPTIONS!D19+ASSUMPTIONS!D20+ASSUMPTIONS!D21+ASSUMPTIONS!D22+ASSUMPTIONS!D23)*ASSUMPTIONS!D33*ASSUMPTIONS!B14</f>
        <v>18980000</v>
      </c>
      <c r="X34" s="70" t="n">
        <f aca="false">(ASSUMPTIONS!D19+ASSUMPTIONS!D20+ASSUMPTIONS!D21+ASSUMPTIONS!D22+ASSUMPTIONS!D23+ASSUMPTIONS!D24)*ASSUMPTIONS!D34*ASSUMPTIONS!B14</f>
        <v>21170000</v>
      </c>
      <c r="Y34" s="70" t="n">
        <f aca="false">(ASSUMPTIONS!D19+ASSUMPTIONS!D20+ASSUMPTIONS!D21+ASSUMPTIONS!D22+ASSUMPTIONS!D23+ASSUMPTIONS!D24+ASSUMPTIONS!D25)*ASSUMPTIONS!D35*ASSUMPTIONS!B14</f>
        <v>23360000</v>
      </c>
    </row>
  </sheetData>
  <mergeCells count="10">
    <mergeCell ref="A1:Y1"/>
    <mergeCell ref="A2:Y2"/>
    <mergeCell ref="C4:I4"/>
    <mergeCell ref="K4:Q4"/>
    <mergeCell ref="S4:Y4"/>
    <mergeCell ref="A6:Y6"/>
    <mergeCell ref="A12:Y12"/>
    <mergeCell ref="A21:Y21"/>
    <mergeCell ref="A29:Y29"/>
    <mergeCell ref="A32:Y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28" min="3" style="0" width="9"/>
  </cols>
  <sheetData>
    <row r="1" customFormat="false" ht="15" hidden="false" customHeight="false" outlineLevel="0" collapsed="false">
      <c r="A1" s="17" t="s">
        <v>185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customFormat="false" ht="15" hidden="false" customHeight="false" outlineLevel="0" collapsed="false">
      <c r="A2" s="18" t="s">
        <v>186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4" customFormat="false" ht="15" hidden="false" customHeight="false" outlineLevel="0" collapsed="false">
      <c r="A4" s="32" t="s">
        <v>187</v>
      </c>
      <c r="C4" s="71" t="s">
        <v>188</v>
      </c>
      <c r="D4" s="72" t="s">
        <v>189</v>
      </c>
      <c r="E4" s="71" t="s">
        <v>190</v>
      </c>
      <c r="F4" s="72" t="s">
        <v>191</v>
      </c>
      <c r="G4" s="71" t="s">
        <v>192</v>
      </c>
      <c r="H4" s="72" t="s">
        <v>193</v>
      </c>
      <c r="I4" s="71" t="s">
        <v>194</v>
      </c>
      <c r="J4" s="72" t="s">
        <v>195</v>
      </c>
      <c r="K4" s="71" t="s">
        <v>196</v>
      </c>
      <c r="L4" s="72" t="s">
        <v>197</v>
      </c>
      <c r="M4" s="71" t="s">
        <v>198</v>
      </c>
      <c r="N4" s="72" t="s">
        <v>199</v>
      </c>
      <c r="O4" s="71" t="s">
        <v>200</v>
      </c>
      <c r="P4" s="72" t="s">
        <v>201</v>
      </c>
      <c r="Q4" s="71" t="s">
        <v>202</v>
      </c>
      <c r="R4" s="72" t="s">
        <v>203</v>
      </c>
      <c r="S4" s="71" t="s">
        <v>204</v>
      </c>
      <c r="T4" s="72" t="s">
        <v>205</v>
      </c>
      <c r="U4" s="71" t="s">
        <v>206</v>
      </c>
      <c r="V4" s="72" t="s">
        <v>207</v>
      </c>
      <c r="W4" s="71" t="s">
        <v>208</v>
      </c>
      <c r="X4" s="72" t="s">
        <v>209</v>
      </c>
      <c r="Y4" s="71" t="s">
        <v>210</v>
      </c>
      <c r="Z4" s="72" t="s">
        <v>211</v>
      </c>
    </row>
    <row r="5" customFormat="false" ht="15" hidden="false" customHeight="false" outlineLevel="0" collapsed="false">
      <c r="A5" s="19" t="s">
        <v>212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customFormat="false" ht="15" hidden="false" customHeight="false" outlineLevel="0" collapsed="false">
      <c r="A6" s="66" t="s">
        <v>213</v>
      </c>
      <c r="C6" s="73" t="n">
        <v>500000</v>
      </c>
      <c r="D6" s="74" t="n">
        <v>0</v>
      </c>
      <c r="E6" s="75" t="n">
        <v>0</v>
      </c>
      <c r="F6" s="74" t="n">
        <v>0</v>
      </c>
      <c r="G6" s="75" t="n">
        <v>0</v>
      </c>
      <c r="H6" s="74" t="n">
        <v>0</v>
      </c>
      <c r="I6" s="75" t="n">
        <v>0</v>
      </c>
      <c r="J6" s="74" t="n">
        <v>0</v>
      </c>
      <c r="K6" s="75" t="n">
        <v>0</v>
      </c>
      <c r="L6" s="74" t="n">
        <v>0</v>
      </c>
      <c r="M6" s="75" t="n">
        <v>0</v>
      </c>
      <c r="N6" s="74" t="n">
        <v>0</v>
      </c>
      <c r="O6" s="75" t="n">
        <v>0</v>
      </c>
      <c r="P6" s="74" t="n">
        <v>0</v>
      </c>
      <c r="Q6" s="75" t="n">
        <v>0</v>
      </c>
      <c r="R6" s="74" t="n">
        <v>0</v>
      </c>
      <c r="S6" s="75" t="n">
        <v>0</v>
      </c>
      <c r="T6" s="74" t="n">
        <v>0</v>
      </c>
      <c r="U6" s="75" t="n">
        <v>0</v>
      </c>
      <c r="V6" s="74" t="n">
        <v>0</v>
      </c>
      <c r="W6" s="75" t="n">
        <v>0</v>
      </c>
      <c r="X6" s="74" t="n">
        <v>0</v>
      </c>
      <c r="Y6" s="75" t="n">
        <v>0</v>
      </c>
      <c r="Z6" s="74" t="n">
        <v>0</v>
      </c>
    </row>
    <row r="7" customFormat="false" ht="15" hidden="false" customHeight="false" outlineLevel="0" collapsed="false">
      <c r="A7" s="66" t="s">
        <v>214</v>
      </c>
      <c r="C7" s="75" t="n">
        <v>10</v>
      </c>
      <c r="D7" s="74" t="n">
        <v>10</v>
      </c>
      <c r="E7" s="75" t="n">
        <v>10</v>
      </c>
      <c r="F7" s="74" t="n">
        <v>10</v>
      </c>
      <c r="G7" s="75" t="n">
        <v>10</v>
      </c>
      <c r="H7" s="74" t="n">
        <v>10</v>
      </c>
      <c r="I7" s="75" t="n">
        <v>10</v>
      </c>
      <c r="J7" s="74" t="n">
        <v>5</v>
      </c>
      <c r="K7" s="75" t="n">
        <v>5</v>
      </c>
      <c r="L7" s="74" t="n">
        <v>5</v>
      </c>
      <c r="M7" s="75" t="n">
        <v>5</v>
      </c>
      <c r="N7" s="74" t="n">
        <v>5</v>
      </c>
      <c r="O7" s="75" t="n">
        <v>15</v>
      </c>
      <c r="P7" s="74" t="n">
        <v>15</v>
      </c>
      <c r="Q7" s="75" t="n">
        <v>20</v>
      </c>
      <c r="R7" s="74" t="n">
        <v>20</v>
      </c>
      <c r="S7" s="75" t="n">
        <v>20</v>
      </c>
      <c r="T7" s="74" t="n">
        <v>20</v>
      </c>
      <c r="U7" s="75" t="n">
        <v>15</v>
      </c>
      <c r="V7" s="74" t="n">
        <v>15</v>
      </c>
      <c r="W7" s="75" t="n">
        <v>15</v>
      </c>
      <c r="X7" s="74" t="n">
        <v>15</v>
      </c>
      <c r="Y7" s="75" t="n">
        <v>15</v>
      </c>
      <c r="Z7" s="74" t="n">
        <v>15</v>
      </c>
    </row>
    <row r="8" customFormat="false" ht="15" hidden="false" customHeight="false" outlineLevel="0" collapsed="false">
      <c r="A8" s="66" t="s">
        <v>215</v>
      </c>
      <c r="C8" s="73" t="n">
        <v>401</v>
      </c>
      <c r="D8" s="76" t="n">
        <v>401</v>
      </c>
      <c r="E8" s="73" t="n">
        <v>401</v>
      </c>
      <c r="F8" s="76" t="n">
        <v>401</v>
      </c>
      <c r="G8" s="73" t="n">
        <v>401</v>
      </c>
      <c r="H8" s="76" t="n">
        <v>401</v>
      </c>
      <c r="I8" s="73" t="n">
        <v>401</v>
      </c>
      <c r="J8" s="76" t="n">
        <v>401</v>
      </c>
      <c r="K8" s="73" t="n">
        <v>401</v>
      </c>
      <c r="L8" s="76" t="n">
        <v>401</v>
      </c>
      <c r="M8" s="73" t="n">
        <v>401</v>
      </c>
      <c r="N8" s="76" t="n">
        <v>401</v>
      </c>
      <c r="O8" s="73" t="n">
        <v>401</v>
      </c>
      <c r="P8" s="76" t="n">
        <v>401</v>
      </c>
      <c r="Q8" s="73" t="n">
        <v>401</v>
      </c>
      <c r="R8" s="76" t="n">
        <v>401</v>
      </c>
      <c r="S8" s="73" t="n">
        <v>401</v>
      </c>
      <c r="T8" s="76" t="n">
        <v>401</v>
      </c>
      <c r="U8" s="73" t="n">
        <v>401</v>
      </c>
      <c r="V8" s="76" t="n">
        <v>401</v>
      </c>
      <c r="W8" s="73" t="n">
        <v>401</v>
      </c>
      <c r="X8" s="76" t="n">
        <v>401</v>
      </c>
      <c r="Y8" s="73" t="n">
        <v>401</v>
      </c>
      <c r="Z8" s="76" t="n">
        <v>401</v>
      </c>
    </row>
    <row r="9" customFormat="false" ht="15" hidden="false" customHeight="false" outlineLevel="0" collapsed="false">
      <c r="A9" s="66" t="s">
        <v>216</v>
      </c>
      <c r="C9" s="75" t="n">
        <v>12</v>
      </c>
      <c r="D9" s="74" t="n">
        <v>12</v>
      </c>
      <c r="E9" s="75" t="n">
        <v>12</v>
      </c>
      <c r="F9" s="74" t="n">
        <v>13</v>
      </c>
      <c r="G9" s="75" t="n">
        <v>13</v>
      </c>
      <c r="H9" s="74" t="n">
        <v>13</v>
      </c>
      <c r="I9" s="75" t="n">
        <v>14</v>
      </c>
      <c r="J9" s="74" t="n">
        <v>14</v>
      </c>
      <c r="K9" s="75" t="n">
        <v>14</v>
      </c>
      <c r="L9" s="74" t="n">
        <v>15</v>
      </c>
      <c r="M9" s="75" t="n">
        <v>15</v>
      </c>
      <c r="N9" s="74" t="n">
        <v>15</v>
      </c>
      <c r="O9" s="75" t="n">
        <v>16</v>
      </c>
      <c r="P9" s="74" t="n">
        <v>16</v>
      </c>
      <c r="Q9" s="75" t="n">
        <v>17</v>
      </c>
      <c r="R9" s="74" t="n">
        <v>17</v>
      </c>
      <c r="S9" s="75" t="n">
        <v>18</v>
      </c>
      <c r="T9" s="74" t="n">
        <v>18</v>
      </c>
      <c r="U9" s="75" t="n">
        <v>18</v>
      </c>
      <c r="V9" s="74" t="n">
        <v>18</v>
      </c>
      <c r="W9" s="75" t="n">
        <v>18</v>
      </c>
      <c r="X9" s="74" t="n">
        <v>18</v>
      </c>
      <c r="Y9" s="75" t="n">
        <v>18</v>
      </c>
      <c r="Z9" s="74" t="n">
        <v>18</v>
      </c>
    </row>
    <row r="10" customFormat="false" ht="15" hidden="false" customHeight="false" outlineLevel="0" collapsed="false">
      <c r="A10" s="66" t="s">
        <v>217</v>
      </c>
      <c r="C10" s="75" t="n">
        <v>15</v>
      </c>
      <c r="D10" s="74" t="n">
        <v>15</v>
      </c>
      <c r="E10" s="75" t="n">
        <v>15</v>
      </c>
      <c r="F10" s="74" t="n">
        <v>15</v>
      </c>
      <c r="G10" s="75" t="n">
        <v>15</v>
      </c>
      <c r="H10" s="74" t="n">
        <v>15</v>
      </c>
      <c r="I10" s="75" t="n">
        <v>15</v>
      </c>
      <c r="J10" s="74" t="n">
        <v>15</v>
      </c>
      <c r="K10" s="75" t="n">
        <v>15</v>
      </c>
      <c r="L10" s="74" t="n">
        <v>15</v>
      </c>
      <c r="M10" s="75" t="n">
        <v>15</v>
      </c>
      <c r="N10" s="74" t="n">
        <v>15</v>
      </c>
      <c r="O10" s="75" t="n">
        <v>15</v>
      </c>
      <c r="P10" s="74" t="n">
        <v>15</v>
      </c>
      <c r="Q10" s="75" t="n">
        <v>15</v>
      </c>
      <c r="R10" s="74" t="n">
        <v>15</v>
      </c>
      <c r="S10" s="75" t="n">
        <v>15</v>
      </c>
      <c r="T10" s="74" t="n">
        <v>15</v>
      </c>
      <c r="U10" s="75" t="n">
        <v>15</v>
      </c>
      <c r="V10" s="74" t="n">
        <v>15</v>
      </c>
      <c r="W10" s="75" t="n">
        <v>15</v>
      </c>
      <c r="X10" s="74" t="n">
        <v>15</v>
      </c>
      <c r="Y10" s="75" t="n">
        <v>15</v>
      </c>
      <c r="Z10" s="74" t="n">
        <v>15</v>
      </c>
    </row>
    <row r="12" customFormat="false" ht="15" hidden="false" customHeight="false" outlineLevel="0" collapsed="false">
      <c r="A12" s="19" t="s">
        <v>218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customFormat="false" ht="15" hidden="false" customHeight="false" outlineLevel="0" collapsed="false">
      <c r="A13" s="66" t="s">
        <v>219</v>
      </c>
      <c r="C13" s="77" t="n">
        <f aca="false">C7</f>
        <v>10</v>
      </c>
      <c r="D13" s="78" t="n">
        <f aca="false">C13+D7</f>
        <v>20</v>
      </c>
      <c r="E13" s="77" t="n">
        <f aca="false">D13+E7</f>
        <v>30</v>
      </c>
      <c r="F13" s="78" t="n">
        <f aca="false">E13+F7</f>
        <v>40</v>
      </c>
      <c r="G13" s="77" t="n">
        <f aca="false">F13+G7</f>
        <v>50</v>
      </c>
      <c r="H13" s="78" t="n">
        <f aca="false">G13+H7</f>
        <v>60</v>
      </c>
      <c r="I13" s="77" t="n">
        <f aca="false">H13+I7</f>
        <v>70</v>
      </c>
      <c r="J13" s="78" t="n">
        <f aca="false">I13+J7</f>
        <v>75</v>
      </c>
      <c r="K13" s="77" t="n">
        <f aca="false">J13+K7</f>
        <v>80</v>
      </c>
      <c r="L13" s="78" t="n">
        <f aca="false">K13+L7</f>
        <v>85</v>
      </c>
      <c r="M13" s="77" t="n">
        <f aca="false">L13+M7</f>
        <v>90</v>
      </c>
      <c r="N13" s="78" t="n">
        <f aca="false">M13+N7</f>
        <v>95</v>
      </c>
      <c r="O13" s="77" t="n">
        <f aca="false">N13+O7</f>
        <v>110</v>
      </c>
      <c r="P13" s="78" t="n">
        <f aca="false">O13+P7</f>
        <v>125</v>
      </c>
      <c r="Q13" s="77" t="n">
        <f aca="false">P13+Q7</f>
        <v>145</v>
      </c>
      <c r="R13" s="78" t="n">
        <f aca="false">Q13+R7</f>
        <v>165</v>
      </c>
      <c r="S13" s="77" t="n">
        <f aca="false">R13+S7</f>
        <v>185</v>
      </c>
      <c r="T13" s="78" t="n">
        <f aca="false">S13+T7</f>
        <v>205</v>
      </c>
      <c r="U13" s="77" t="n">
        <f aca="false">T13+U7</f>
        <v>220</v>
      </c>
      <c r="V13" s="78" t="n">
        <f aca="false">U13+V7</f>
        <v>235</v>
      </c>
      <c r="W13" s="77" t="n">
        <f aca="false">V13+W7</f>
        <v>250</v>
      </c>
      <c r="X13" s="78" t="n">
        <f aca="false">W13+X7</f>
        <v>265</v>
      </c>
      <c r="Y13" s="77" t="n">
        <f aca="false">X13+Y7</f>
        <v>280</v>
      </c>
      <c r="Z13" s="78" t="n">
        <f aca="false">Y13+Z7</f>
        <v>295</v>
      </c>
    </row>
    <row r="14" customFormat="false" ht="15" hidden="false" customHeight="false" outlineLevel="0" collapsed="false">
      <c r="A14" s="55" t="s">
        <v>220</v>
      </c>
      <c r="C14" s="59" t="n">
        <f aca="false">-C7*C8</f>
        <v>-4010</v>
      </c>
      <c r="D14" s="79" t="n">
        <f aca="false">-D7*D8</f>
        <v>-4010</v>
      </c>
      <c r="E14" s="59" t="n">
        <f aca="false">-E7*E8</f>
        <v>-4010</v>
      </c>
      <c r="F14" s="79" t="n">
        <f aca="false">-F7*F8</f>
        <v>-4010</v>
      </c>
      <c r="G14" s="59" t="n">
        <f aca="false">-G7*G8</f>
        <v>-4010</v>
      </c>
      <c r="H14" s="79" t="n">
        <f aca="false">-H7*H8</f>
        <v>-4010</v>
      </c>
      <c r="I14" s="59" t="n">
        <f aca="false">-I7*I8</f>
        <v>-4010</v>
      </c>
      <c r="J14" s="79" t="n">
        <f aca="false">-J7*J8</f>
        <v>-2005</v>
      </c>
      <c r="K14" s="59" t="n">
        <f aca="false">-K7*K8</f>
        <v>-2005</v>
      </c>
      <c r="L14" s="79" t="n">
        <f aca="false">-L7*L8</f>
        <v>-2005</v>
      </c>
      <c r="M14" s="59" t="n">
        <f aca="false">-M7*M8</f>
        <v>-2005</v>
      </c>
      <c r="N14" s="79" t="n">
        <f aca="false">-N7*N8</f>
        <v>-2005</v>
      </c>
      <c r="O14" s="59" t="n">
        <f aca="false">-O7*O8</f>
        <v>-6015</v>
      </c>
      <c r="P14" s="79" t="n">
        <f aca="false">-P7*P8</f>
        <v>-6015</v>
      </c>
      <c r="Q14" s="59" t="n">
        <f aca="false">-Q7*Q8</f>
        <v>-8020</v>
      </c>
      <c r="R14" s="79" t="n">
        <f aca="false">-R7*R8</f>
        <v>-8020</v>
      </c>
      <c r="S14" s="59" t="n">
        <f aca="false">-S7*S8</f>
        <v>-8020</v>
      </c>
      <c r="T14" s="79" t="n">
        <f aca="false">-T7*T8</f>
        <v>-8020</v>
      </c>
      <c r="U14" s="59" t="n">
        <f aca="false">-U7*U8</f>
        <v>-6015</v>
      </c>
      <c r="V14" s="79" t="n">
        <f aca="false">-V7*V8</f>
        <v>-6015</v>
      </c>
      <c r="W14" s="59" t="n">
        <f aca="false">-W7*W8</f>
        <v>-6015</v>
      </c>
      <c r="X14" s="79" t="n">
        <f aca="false">-X7*X8</f>
        <v>-6015</v>
      </c>
      <c r="Y14" s="59" t="n">
        <f aca="false">-Y7*Y8</f>
        <v>-6015</v>
      </c>
      <c r="Z14" s="79" t="n">
        <f aca="false">-Z7*Z8</f>
        <v>-6015</v>
      </c>
    </row>
    <row r="15" customFormat="false" ht="15" hidden="false" customHeight="false" outlineLevel="0" collapsed="false">
      <c r="A15" s="55" t="s">
        <v>221</v>
      </c>
      <c r="C15" s="60" t="n">
        <f aca="false">C13*C9*30.5*C10*0.35</f>
        <v>19215</v>
      </c>
      <c r="D15" s="80" t="n">
        <f aca="false">D13*D9*30.5*D10*0.35</f>
        <v>38430</v>
      </c>
      <c r="E15" s="60" t="n">
        <f aca="false">E13*E9*30.5*E10*0.35</f>
        <v>57645</v>
      </c>
      <c r="F15" s="80" t="n">
        <f aca="false">F13*F9*30.5*F10*0.35</f>
        <v>83265</v>
      </c>
      <c r="G15" s="60" t="n">
        <f aca="false">G13*G9*30.5*G10*0.35</f>
        <v>104081.25</v>
      </c>
      <c r="H15" s="80" t="n">
        <f aca="false">H13*H9*30.5*H10*0.35</f>
        <v>124897.5</v>
      </c>
      <c r="I15" s="60" t="n">
        <f aca="false">I13*I9*30.5*I10*0.35</f>
        <v>156922.5</v>
      </c>
      <c r="J15" s="80" t="n">
        <f aca="false">J13*J9*30.5*J10*0.35</f>
        <v>168131.25</v>
      </c>
      <c r="K15" s="60" t="n">
        <f aca="false">K13*K9*30.5*K10*0.35</f>
        <v>179340</v>
      </c>
      <c r="L15" s="80" t="n">
        <f aca="false">L13*L9*30.5*L10*0.35</f>
        <v>204159.375</v>
      </c>
      <c r="M15" s="60" t="n">
        <f aca="false">M13*M9*30.5*M10*0.35</f>
        <v>216168.75</v>
      </c>
      <c r="N15" s="80" t="n">
        <f aca="false">N13*N9*30.5*N10*0.35</f>
        <v>228178.125</v>
      </c>
      <c r="O15" s="60" t="n">
        <f aca="false">O13*O9*30.5*O10*0.35</f>
        <v>281820</v>
      </c>
      <c r="P15" s="80" t="n">
        <f aca="false">P13*P9*30.5*P10*0.35</f>
        <v>320250</v>
      </c>
      <c r="Q15" s="60" t="n">
        <f aca="false">Q13*Q9*30.5*Q10*0.35</f>
        <v>394708.125</v>
      </c>
      <c r="R15" s="80" t="n">
        <f aca="false">R13*R9*30.5*R10*0.35</f>
        <v>449150.625</v>
      </c>
      <c r="S15" s="60" t="n">
        <f aca="false">S13*S9*30.5*S10*0.35</f>
        <v>533216.25</v>
      </c>
      <c r="T15" s="80" t="n">
        <f aca="false">T13*T9*30.5*T10*0.35</f>
        <v>590861.25</v>
      </c>
      <c r="U15" s="60" t="n">
        <f aca="false">U13*U9*30.5*U10*0.35</f>
        <v>634095</v>
      </c>
      <c r="V15" s="80" t="n">
        <f aca="false">V13*V9*30.5*V10*0.35</f>
        <v>677328.75</v>
      </c>
      <c r="W15" s="60" t="n">
        <f aca="false">W13*W9*30.5*W10*0.35</f>
        <v>720562.5</v>
      </c>
      <c r="X15" s="80" t="n">
        <f aca="false">X13*X9*30.5*X10*0.35</f>
        <v>763796.25</v>
      </c>
      <c r="Y15" s="60" t="n">
        <f aca="false">Y13*Y9*30.5*Y10*0.35</f>
        <v>807030</v>
      </c>
      <c r="Z15" s="80" t="n">
        <f aca="false">Z13*Z9*30.5*Z10*0.35</f>
        <v>850263.75</v>
      </c>
    </row>
    <row r="16" customFormat="false" ht="15" hidden="false" customHeight="false" outlineLevel="0" collapsed="false">
      <c r="A16" s="55" t="s">
        <v>167</v>
      </c>
      <c r="C16" s="59" t="n">
        <f aca="false">-C13*C9*30.5*(0.3+0.029*C10*1.1+0.02)</f>
        <v>-2922.51</v>
      </c>
      <c r="D16" s="79" t="n">
        <f aca="false">-D13*D9*30.5*(0.3+0.029*D10*1.1+0.02)</f>
        <v>-5845.02</v>
      </c>
      <c r="E16" s="59" t="n">
        <f aca="false">-E13*E9*30.5*(0.3+0.029*E10*1.1+0.02)</f>
        <v>-8767.53</v>
      </c>
      <c r="F16" s="79" t="n">
        <f aca="false">-F13*F9*30.5*(0.3+0.029*F10*1.1+0.02)</f>
        <v>-12664.21</v>
      </c>
      <c r="G16" s="59" t="n">
        <f aca="false">-G13*G9*30.5*(0.3+0.029*G10*1.1+0.02)</f>
        <v>-15830.2625</v>
      </c>
      <c r="H16" s="79" t="n">
        <f aca="false">-H13*H9*30.5*(0.3+0.029*H10*1.1+0.02)</f>
        <v>-18996.315</v>
      </c>
      <c r="I16" s="59" t="n">
        <f aca="false">-I13*I9*30.5*(0.3+0.029*I10*1.1+0.02)</f>
        <v>-23867.165</v>
      </c>
      <c r="J16" s="79" t="n">
        <f aca="false">-J13*J9*30.5*(0.3+0.029*J10*1.1+0.02)</f>
        <v>-25571.9625</v>
      </c>
      <c r="K16" s="59" t="n">
        <f aca="false">-K13*K9*30.5*(0.3+0.029*K10*1.1+0.02)</f>
        <v>-27276.76</v>
      </c>
      <c r="L16" s="79" t="n">
        <f aca="false">-L13*L9*30.5*(0.3+0.029*L10*1.1+0.02)</f>
        <v>-31051.66875</v>
      </c>
      <c r="M16" s="59" t="n">
        <f aca="false">-M13*M9*30.5*(0.3+0.029*M10*1.1+0.02)</f>
        <v>-32878.2375</v>
      </c>
      <c r="N16" s="79" t="n">
        <f aca="false">-N13*N9*30.5*(0.3+0.029*N10*1.1+0.02)</f>
        <v>-34704.80625</v>
      </c>
      <c r="O16" s="59" t="n">
        <f aca="false">-O13*O9*30.5*(0.3+0.029*O10*1.1+0.02)</f>
        <v>-42863.48</v>
      </c>
      <c r="P16" s="79" t="n">
        <f aca="false">-P13*P9*30.5*(0.3+0.029*P10*1.1+0.02)</f>
        <v>-48708.5</v>
      </c>
      <c r="Q16" s="59" t="n">
        <f aca="false">-Q13*Q9*30.5*(0.3+0.029*Q10*1.1+0.02)</f>
        <v>-60033.22625</v>
      </c>
      <c r="R16" s="79" t="n">
        <f aca="false">-R13*R9*30.5*(0.3+0.029*R10*1.1+0.02)</f>
        <v>-68313.67125</v>
      </c>
      <c r="S16" s="59" t="n">
        <f aca="false">-S13*S9*30.5*(0.3+0.029*S10*1.1+0.02)</f>
        <v>-81099.6525</v>
      </c>
      <c r="T16" s="79" t="n">
        <f aca="false">-T13*T9*30.5*(0.3+0.029*T10*1.1+0.02)</f>
        <v>-89867.1825</v>
      </c>
      <c r="U16" s="59" t="n">
        <f aca="false">-U13*U9*30.5*(0.3+0.029*U10*1.1+0.02)</f>
        <v>-96442.83</v>
      </c>
      <c r="V16" s="79" t="n">
        <f aca="false">-V13*V9*30.5*(0.3+0.029*V10*1.1+0.02)</f>
        <v>-103018.4775</v>
      </c>
      <c r="W16" s="59" t="n">
        <f aca="false">-W13*W9*30.5*(0.3+0.029*W10*1.1+0.02)</f>
        <v>-109594.125</v>
      </c>
      <c r="X16" s="79" t="n">
        <f aca="false">-X13*X9*30.5*(0.3+0.029*X10*1.1+0.02)</f>
        <v>-116169.7725</v>
      </c>
      <c r="Y16" s="59" t="n">
        <f aca="false">-Y13*Y9*30.5*(0.3+0.029*Y10*1.1+0.02)</f>
        <v>-122745.42</v>
      </c>
      <c r="Z16" s="79" t="n">
        <f aca="false">-Z13*Z9*30.5*(0.3+0.029*Z10*1.1+0.02)</f>
        <v>-129321.0675</v>
      </c>
    </row>
    <row r="17" customFormat="false" ht="15" hidden="false" customHeight="false" outlineLevel="0" collapsed="false">
      <c r="A17" s="55" t="s">
        <v>222</v>
      </c>
      <c r="C17" s="81" t="n">
        <v>-6951</v>
      </c>
      <c r="D17" s="82" t="n">
        <v>-6951</v>
      </c>
      <c r="E17" s="81" t="n">
        <v>-6951</v>
      </c>
      <c r="F17" s="82" t="n">
        <v>-6951</v>
      </c>
      <c r="G17" s="81" t="n">
        <v>-6951</v>
      </c>
      <c r="H17" s="82" t="n">
        <v>-6951</v>
      </c>
      <c r="I17" s="81" t="n">
        <v>-6951</v>
      </c>
      <c r="J17" s="82" t="n">
        <v>-6951</v>
      </c>
      <c r="K17" s="81" t="n">
        <v>-6951</v>
      </c>
      <c r="L17" s="82" t="n">
        <v>-6951</v>
      </c>
      <c r="M17" s="81" t="n">
        <v>-6951</v>
      </c>
      <c r="N17" s="82" t="n">
        <v>-6951</v>
      </c>
      <c r="O17" s="81" t="n">
        <v>-30035</v>
      </c>
      <c r="P17" s="82" t="n">
        <v>-30035</v>
      </c>
      <c r="Q17" s="81" t="n">
        <v>-30035</v>
      </c>
      <c r="R17" s="82" t="n">
        <v>-30035</v>
      </c>
      <c r="S17" s="81" t="n">
        <v>-30035</v>
      </c>
      <c r="T17" s="82" t="n">
        <v>-30035</v>
      </c>
      <c r="U17" s="81" t="n">
        <v>-30035</v>
      </c>
      <c r="V17" s="82" t="n">
        <v>-30035</v>
      </c>
      <c r="W17" s="81" t="n">
        <v>-30035</v>
      </c>
      <c r="X17" s="82" t="n">
        <v>-30035</v>
      </c>
      <c r="Y17" s="81" t="n">
        <v>-30035</v>
      </c>
      <c r="Z17" s="82" t="n">
        <v>-30035</v>
      </c>
    </row>
    <row r="18" customFormat="false" ht="15" hidden="false" customHeight="false" outlineLevel="0" collapsed="false">
      <c r="A18" s="83" t="s">
        <v>223</v>
      </c>
      <c r="C18" s="84" t="n">
        <f aca="false">C6+C14+C15+C16+C17</f>
        <v>505331.49</v>
      </c>
      <c r="D18" s="84" t="n">
        <f aca="false">D6+D14+D15+D16+D17</f>
        <v>21623.98</v>
      </c>
      <c r="E18" s="84" t="n">
        <f aca="false">E6+E14+E15+E16+E17</f>
        <v>37916.47</v>
      </c>
      <c r="F18" s="84" t="n">
        <f aca="false">F6+F14+F15+F16+F17</f>
        <v>59639.79</v>
      </c>
      <c r="G18" s="84" t="n">
        <f aca="false">G6+G14+G15+G16+G17</f>
        <v>77289.9875</v>
      </c>
      <c r="H18" s="84" t="n">
        <f aca="false">H6+H14+H15+H16+H17</f>
        <v>94940.185</v>
      </c>
      <c r="I18" s="84" t="n">
        <f aca="false">I6+I14+I15+I16+I17</f>
        <v>122094.335</v>
      </c>
      <c r="J18" s="84" t="n">
        <f aca="false">J6+J14+J15+J16+J17</f>
        <v>133603.2875</v>
      </c>
      <c r="K18" s="84" t="n">
        <f aca="false">K6+K14+K15+K16+K17</f>
        <v>143107.24</v>
      </c>
      <c r="L18" s="84" t="n">
        <f aca="false">L6+L14+L15+L16+L17</f>
        <v>164151.70625</v>
      </c>
      <c r="M18" s="84" t="n">
        <f aca="false">M6+M14+M15+M16+M17</f>
        <v>174334.5125</v>
      </c>
      <c r="N18" s="84" t="n">
        <f aca="false">N6+N14+N15+N16+N17</f>
        <v>184517.31875</v>
      </c>
      <c r="O18" s="84" t="n">
        <f aca="false">O6+O14+O15+O16+O17</f>
        <v>202906.52</v>
      </c>
      <c r="P18" s="84" t="n">
        <f aca="false">P6+P14+P15+P16+P17</f>
        <v>235491.5</v>
      </c>
      <c r="Q18" s="84" t="n">
        <f aca="false">Q6+Q14+Q15+Q16+Q17</f>
        <v>296619.89875</v>
      </c>
      <c r="R18" s="84" t="n">
        <f aca="false">R6+R14+R15+R16+R17</f>
        <v>342781.95375</v>
      </c>
      <c r="S18" s="84" t="n">
        <f aca="false">S6+S14+S15+S16+S17</f>
        <v>414061.5975</v>
      </c>
      <c r="T18" s="84" t="n">
        <f aca="false">T6+T14+T15+T16+T17</f>
        <v>462939.0675</v>
      </c>
      <c r="U18" s="84" t="n">
        <f aca="false">U6+U14+U15+U16+U17</f>
        <v>501602.17</v>
      </c>
      <c r="V18" s="84" t="n">
        <f aca="false">V6+V14+V15+V16+V17</f>
        <v>538260.2725</v>
      </c>
      <c r="W18" s="84" t="n">
        <f aca="false">W6+W14+W15+W16+W17</f>
        <v>574918.375</v>
      </c>
      <c r="X18" s="84" t="n">
        <f aca="false">X6+X14+X15+X16+X17</f>
        <v>611576.4775</v>
      </c>
      <c r="Y18" s="84" t="n">
        <f aca="false">Y6+Y14+Y15+Y16+Y17</f>
        <v>648234.58</v>
      </c>
      <c r="Z18" s="84" t="n">
        <f aca="false">Z6+Z14+Z15+Z16+Z17</f>
        <v>684892.6825</v>
      </c>
    </row>
    <row r="19" customFormat="false" ht="15" hidden="false" customHeight="false" outlineLevel="0" collapsed="false">
      <c r="A19" s="85" t="s">
        <v>224</v>
      </c>
      <c r="C19" s="86" t="n">
        <f aca="false">C18</f>
        <v>505331.49</v>
      </c>
      <c r="D19" s="86" t="n">
        <f aca="false">C19+D18</f>
        <v>526955.47</v>
      </c>
      <c r="E19" s="86" t="n">
        <f aca="false">D19+E18</f>
        <v>564871.94</v>
      </c>
      <c r="F19" s="86" t="n">
        <f aca="false">E19+F18</f>
        <v>624511.73</v>
      </c>
      <c r="G19" s="86" t="n">
        <f aca="false">F19+G18</f>
        <v>701801.7175</v>
      </c>
      <c r="H19" s="86" t="n">
        <f aca="false">G19+H18</f>
        <v>796741.9025</v>
      </c>
      <c r="I19" s="86" t="n">
        <f aca="false">H19+I18</f>
        <v>918836.2375</v>
      </c>
      <c r="J19" s="86" t="n">
        <f aca="false">I19+J18</f>
        <v>1052439.525</v>
      </c>
      <c r="K19" s="86" t="n">
        <f aca="false">J19+K18</f>
        <v>1195546.765</v>
      </c>
      <c r="L19" s="86" t="n">
        <f aca="false">K19+L18</f>
        <v>1359698.47125</v>
      </c>
      <c r="M19" s="86" t="n">
        <f aca="false">L19+M18</f>
        <v>1534032.98375</v>
      </c>
      <c r="N19" s="86" t="n">
        <f aca="false">M19+N18</f>
        <v>1718550.3025</v>
      </c>
      <c r="O19" s="86" t="n">
        <f aca="false">N19+O18</f>
        <v>1921456.8225</v>
      </c>
      <c r="P19" s="86" t="n">
        <f aca="false">O19+P18</f>
        <v>2156948.3225</v>
      </c>
      <c r="Q19" s="86" t="n">
        <f aca="false">P19+Q18</f>
        <v>2453568.22125</v>
      </c>
      <c r="R19" s="86" t="n">
        <f aca="false">Q19+R18</f>
        <v>2796350.175</v>
      </c>
      <c r="S19" s="86" t="n">
        <f aca="false">R19+S18</f>
        <v>3210411.7725</v>
      </c>
      <c r="T19" s="86" t="n">
        <f aca="false">S19+T18</f>
        <v>3673350.84</v>
      </c>
      <c r="U19" s="86" t="n">
        <f aca="false">T19+U18</f>
        <v>4174953.01</v>
      </c>
      <c r="V19" s="86" t="n">
        <f aca="false">U19+V18</f>
        <v>4713213.2825</v>
      </c>
      <c r="W19" s="86" t="n">
        <f aca="false">V19+W18</f>
        <v>5288131.6575</v>
      </c>
      <c r="X19" s="86" t="n">
        <f aca="false">W19+X18</f>
        <v>5899708.135</v>
      </c>
      <c r="Y19" s="86" t="n">
        <f aca="false">X19+Y18</f>
        <v>6547942.715</v>
      </c>
      <c r="Z19" s="86" t="n">
        <f aca="false">Y19+Z18</f>
        <v>7232835.3975</v>
      </c>
    </row>
    <row r="20" customFormat="false" ht="15" hidden="false" customHeight="false" outlineLevel="0" collapsed="false">
      <c r="A20" s="87" t="s">
        <v>225</v>
      </c>
      <c r="C20" s="88" t="str">
        <f aca="false">IF(C18&gt;=0,"✅ Positive","🔴 Burning")</f>
        <v>✅ Positive</v>
      </c>
      <c r="D20" s="88" t="str">
        <f aca="false">IF(D18&gt;=0,"✅ Positive","🔴 Burning")</f>
        <v>✅ Positive</v>
      </c>
      <c r="E20" s="88" t="str">
        <f aca="false">IF(E18&gt;=0,"✅ Positive","🔴 Burning")</f>
        <v>✅ Positive</v>
      </c>
      <c r="F20" s="88" t="str">
        <f aca="false">IF(F18&gt;=0,"✅ Positive","🔴 Burning")</f>
        <v>✅ Positive</v>
      </c>
      <c r="G20" s="88" t="str">
        <f aca="false">IF(G18&gt;=0,"✅ Positive","🔴 Burning")</f>
        <v>✅ Positive</v>
      </c>
      <c r="H20" s="88" t="str">
        <f aca="false">IF(H18&gt;=0,"✅ Positive","🔴 Burning")</f>
        <v>✅ Positive</v>
      </c>
      <c r="I20" s="88" t="str">
        <f aca="false">IF(I18&gt;=0,"✅ Positive","🔴 Burning")</f>
        <v>✅ Positive</v>
      </c>
      <c r="J20" s="88" t="str">
        <f aca="false">IF(J18&gt;=0,"✅ Positive","🔴 Burning")</f>
        <v>✅ Positive</v>
      </c>
      <c r="K20" s="88" t="str">
        <f aca="false">IF(K18&gt;=0,"✅ Positive","🔴 Burning")</f>
        <v>✅ Positive</v>
      </c>
      <c r="L20" s="88" t="str">
        <f aca="false">IF(L18&gt;=0,"✅ Positive","🔴 Burning")</f>
        <v>✅ Positive</v>
      </c>
      <c r="M20" s="88" t="str">
        <f aca="false">IF(M18&gt;=0,"✅ Positive","🔴 Burning")</f>
        <v>✅ Positive</v>
      </c>
      <c r="N20" s="88" t="str">
        <f aca="false">IF(N18&gt;=0,"✅ Positive","🔴 Burning")</f>
        <v>✅ Positive</v>
      </c>
      <c r="O20" s="88" t="str">
        <f aca="false">IF(O18&gt;=0,"✅ Positive","🔴 Burning")</f>
        <v>✅ Positive</v>
      </c>
      <c r="P20" s="88" t="str">
        <f aca="false">IF(P18&gt;=0,"✅ Positive","🔴 Burning")</f>
        <v>✅ Positive</v>
      </c>
      <c r="Q20" s="88" t="str">
        <f aca="false">IF(Q18&gt;=0,"✅ Positive","🔴 Burning")</f>
        <v>✅ Positive</v>
      </c>
      <c r="R20" s="88" t="str">
        <f aca="false">IF(R18&gt;=0,"✅ Positive","🔴 Burning")</f>
        <v>✅ Positive</v>
      </c>
      <c r="S20" s="88" t="str">
        <f aca="false">IF(S18&gt;=0,"✅ Positive","🔴 Burning")</f>
        <v>✅ Positive</v>
      </c>
      <c r="T20" s="88" t="str">
        <f aca="false">IF(T18&gt;=0,"✅ Positive","🔴 Burning")</f>
        <v>✅ Positive</v>
      </c>
      <c r="U20" s="88" t="str">
        <f aca="false">IF(U18&gt;=0,"✅ Positive","🔴 Burning")</f>
        <v>✅ Positive</v>
      </c>
      <c r="V20" s="88" t="str">
        <f aca="false">IF(V18&gt;=0,"✅ Positive","🔴 Burning")</f>
        <v>✅ Positive</v>
      </c>
      <c r="W20" s="88" t="str">
        <f aca="false">IF(W18&gt;=0,"✅ Positive","🔴 Burning")</f>
        <v>✅ Positive</v>
      </c>
      <c r="X20" s="88" t="str">
        <f aca="false">IF(X18&gt;=0,"✅ Positive","🔴 Burning")</f>
        <v>✅ Positive</v>
      </c>
      <c r="Y20" s="88" t="str">
        <f aca="false">IF(Y18&gt;=0,"✅ Positive","🔴 Burning")</f>
        <v>✅ Positive</v>
      </c>
      <c r="Z20" s="88" t="str">
        <f aca="false">IF(Z18&gt;=0,"✅ Positive","🔴 Burning")</f>
        <v>✅ Positive</v>
      </c>
    </row>
  </sheetData>
  <mergeCells count="4">
    <mergeCell ref="A1:AB1"/>
    <mergeCell ref="A2:AB2"/>
    <mergeCell ref="A5:AB5"/>
    <mergeCell ref="A12:A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7" t="s">
        <v>226</v>
      </c>
      <c r="B1" s="17"/>
      <c r="C1" s="17"/>
      <c r="D1" s="17"/>
      <c r="E1" s="17"/>
    </row>
    <row r="2" customFormat="false" ht="15" hidden="false" customHeight="false" outlineLevel="0" collapsed="false">
      <c r="A2" s="18" t="s">
        <v>227</v>
      </c>
      <c r="B2" s="18"/>
      <c r="C2" s="18"/>
      <c r="D2" s="18"/>
      <c r="E2" s="18"/>
    </row>
    <row r="4" customFormat="false" ht="15" hidden="false" customHeight="false" outlineLevel="0" collapsed="false">
      <c r="A4" s="20" t="s">
        <v>228</v>
      </c>
      <c r="B4" s="29" t="s">
        <v>75</v>
      </c>
      <c r="C4" s="30" t="s">
        <v>76</v>
      </c>
      <c r="D4" s="31" t="s">
        <v>77</v>
      </c>
      <c r="E4" s="20" t="s">
        <v>229</v>
      </c>
    </row>
    <row r="5" customFormat="false" ht="15" hidden="false" customHeight="false" outlineLevel="0" collapsed="false">
      <c r="A5" s="19" t="s">
        <v>230</v>
      </c>
      <c r="B5" s="19"/>
      <c r="C5" s="19"/>
      <c r="D5" s="19"/>
      <c r="E5" s="19"/>
    </row>
    <row r="6" customFormat="false" ht="15" hidden="false" customHeight="false" outlineLevel="0" collapsed="false">
      <c r="A6" s="62" t="s">
        <v>231</v>
      </c>
      <c r="B6" s="63" t="n">
        <v>401</v>
      </c>
      <c r="C6" s="63" t="n">
        <v>401</v>
      </c>
      <c r="D6" s="63" t="n">
        <v>401</v>
      </c>
      <c r="E6" s="89" t="s">
        <v>232</v>
      </c>
    </row>
    <row r="7" customFormat="false" ht="15" hidden="false" customHeight="false" outlineLevel="0" collapsed="false">
      <c r="A7" s="55" t="s">
        <v>233</v>
      </c>
      <c r="B7" s="56" t="n">
        <f aca="false">ASSUMPTIONS!B6</f>
        <v>15</v>
      </c>
      <c r="C7" s="57" t="n">
        <f aca="false">ASSUMPTIONS!B6</f>
        <v>15</v>
      </c>
      <c r="D7" s="58" t="n">
        <f aca="false">ASSUMPTIONS!B6</f>
        <v>15</v>
      </c>
      <c r="E7" s="89" t="s">
        <v>234</v>
      </c>
    </row>
    <row r="8" customFormat="false" ht="15" hidden="false" customHeight="false" outlineLevel="0" collapsed="false">
      <c r="A8" s="55" t="s">
        <v>235</v>
      </c>
      <c r="B8" s="56" t="n">
        <f aca="false">B7*ASSUMPTIONS!B8</f>
        <v>5.25</v>
      </c>
      <c r="C8" s="57" t="n">
        <f aca="false">C7*ASSUMPTIONS!B8</f>
        <v>5.25</v>
      </c>
      <c r="D8" s="58" t="n">
        <f aca="false">D7*ASSUMPTIONS!B8</f>
        <v>5.25</v>
      </c>
      <c r="E8" s="89" t="s">
        <v>236</v>
      </c>
    </row>
    <row r="9" customFormat="false" ht="15" hidden="false" customHeight="false" outlineLevel="0" collapsed="false">
      <c r="A9" s="55" t="s">
        <v>237</v>
      </c>
      <c r="B9" s="56" t="n">
        <f aca="false">ASSUMPTIONS!B10+ASSUMPTIONS!B9*B7*1.1+ASSUMPTIONS!B11</f>
        <v>0.7985</v>
      </c>
      <c r="C9" s="57" t="n">
        <f aca="false">ASSUMPTIONS!B10+ASSUMPTIONS!B9*C7*1.1+ASSUMPTIONS!B11</f>
        <v>0.7985</v>
      </c>
      <c r="D9" s="58" t="n">
        <f aca="false">ASSUMPTIONS!B10+ASSUMPTIONS!B9*D7*1.1+ASSUMPTIONS!B11</f>
        <v>0.7985</v>
      </c>
      <c r="E9" s="89" t="s">
        <v>238</v>
      </c>
    </row>
    <row r="10" customFormat="false" ht="15" hidden="false" customHeight="false" outlineLevel="0" collapsed="false">
      <c r="A10" s="55" t="s">
        <v>239</v>
      </c>
      <c r="B10" s="59" t="n">
        <f aca="false">B8-B9</f>
        <v>4.4515</v>
      </c>
      <c r="C10" s="60" t="n">
        <f aca="false">C8-C9</f>
        <v>4.4515</v>
      </c>
      <c r="D10" s="61" t="n">
        <f aca="false">D8-D9</f>
        <v>4.4515</v>
      </c>
      <c r="E10" s="89" t="s">
        <v>240</v>
      </c>
    </row>
    <row r="11" customFormat="false" ht="15" hidden="false" customHeight="false" outlineLevel="0" collapsed="false">
      <c r="A11" s="66" t="s">
        <v>241</v>
      </c>
      <c r="B11" s="78" t="n">
        <f aca="false">8</f>
        <v>8</v>
      </c>
      <c r="C11" s="78" t="n">
        <f aca="false">15</f>
        <v>15</v>
      </c>
      <c r="D11" s="78" t="n">
        <f aca="false">25</f>
        <v>25</v>
      </c>
      <c r="E11" s="89" t="s">
        <v>242</v>
      </c>
    </row>
    <row r="12" customFormat="false" ht="15" hidden="false" customHeight="false" outlineLevel="0" collapsed="false">
      <c r="A12" s="55" t="s">
        <v>243</v>
      </c>
      <c r="B12" s="59" t="n">
        <f aca="false">B10*B11</f>
        <v>35.612</v>
      </c>
      <c r="C12" s="60" t="n">
        <f aca="false">C10*C11</f>
        <v>66.7725</v>
      </c>
      <c r="D12" s="61" t="n">
        <f aca="false">D10*D11</f>
        <v>111.2875</v>
      </c>
      <c r="E12" s="89" t="s">
        <v>244</v>
      </c>
    </row>
    <row r="13" customFormat="false" ht="15" hidden="false" customHeight="false" outlineLevel="0" collapsed="false">
      <c r="A13" s="55" t="s">
        <v>245</v>
      </c>
      <c r="B13" s="59" t="n">
        <f aca="false">B12*30.5</f>
        <v>1086.166</v>
      </c>
      <c r="C13" s="60" t="n">
        <f aca="false">C12*30.5</f>
        <v>2036.56125</v>
      </c>
      <c r="D13" s="61" t="n">
        <f aca="false">D12*30.5</f>
        <v>3394.26875</v>
      </c>
      <c r="E13" s="89" t="s">
        <v>246</v>
      </c>
    </row>
    <row r="14" customFormat="false" ht="15" hidden="false" customHeight="false" outlineLevel="0" collapsed="false">
      <c r="A14" s="55" t="s">
        <v>247</v>
      </c>
      <c r="B14" s="59" t="n">
        <f aca="false">B12*365</f>
        <v>12998.38</v>
      </c>
      <c r="C14" s="60" t="n">
        <f aca="false">C12*365</f>
        <v>24371.9625</v>
      </c>
      <c r="D14" s="61" t="n">
        <f aca="false">D12*365</f>
        <v>40619.9375</v>
      </c>
      <c r="E14" s="89" t="s">
        <v>248</v>
      </c>
    </row>
    <row r="15" customFormat="false" ht="15" hidden="false" customHeight="false" outlineLevel="0" collapsed="false">
      <c r="A15" s="55" t="s">
        <v>249</v>
      </c>
      <c r="B15" s="90" t="n">
        <f aca="false">B6/B12</f>
        <v>11.2602493541503</v>
      </c>
      <c r="C15" s="91" t="n">
        <f aca="false">C6/C12</f>
        <v>6.00546632221349</v>
      </c>
      <c r="D15" s="92" t="n">
        <f aca="false">D6/D12</f>
        <v>3.60327979332809</v>
      </c>
      <c r="E15" s="89" t="s">
        <v>250</v>
      </c>
    </row>
    <row r="16" customFormat="false" ht="15" hidden="false" customHeight="false" outlineLevel="0" collapsed="false">
      <c r="A16" s="66" t="s">
        <v>251</v>
      </c>
      <c r="B16" s="63" t="n">
        <f aca="false">B6/B13</f>
        <v>0.369188503414763</v>
      </c>
      <c r="C16" s="63" t="n">
        <f aca="false">C6/C13</f>
        <v>0.196900535154541</v>
      </c>
      <c r="D16" s="63" t="n">
        <f aca="false">D6/D13</f>
        <v>0.118140321092724</v>
      </c>
      <c r="E16" s="89" t="s">
        <v>252</v>
      </c>
    </row>
    <row r="17" customFormat="false" ht="15" hidden="false" customHeight="false" outlineLevel="0" collapsed="false">
      <c r="A17" s="62" t="s">
        <v>253</v>
      </c>
      <c r="B17" s="63" t="n">
        <f aca="false">B14*5</f>
        <v>64991.9</v>
      </c>
      <c r="C17" s="63" t="n">
        <f aca="false">C14*5</f>
        <v>121859.8125</v>
      </c>
      <c r="D17" s="63" t="n">
        <f aca="false">D14*5</f>
        <v>203099.6875</v>
      </c>
      <c r="E17" s="89" t="s">
        <v>254</v>
      </c>
    </row>
    <row r="18" customFormat="false" ht="15" hidden="false" customHeight="false" outlineLevel="0" collapsed="false">
      <c r="A18" s="62" t="s">
        <v>255</v>
      </c>
      <c r="B18" s="93" t="n">
        <f aca="false">B17/B6</f>
        <v>162.074563591022</v>
      </c>
      <c r="C18" s="93" t="n">
        <f aca="false">C17/C6</f>
        <v>303.889806733167</v>
      </c>
      <c r="D18" s="93" t="n">
        <f aca="false">D17/D6</f>
        <v>506.483011221945</v>
      </c>
      <c r="E18" s="89" t="s">
        <v>256</v>
      </c>
    </row>
    <row r="20" customFormat="false" ht="15" hidden="false" customHeight="false" outlineLevel="0" collapsed="false">
      <c r="A20" s="19" t="s">
        <v>257</v>
      </c>
      <c r="B20" s="19"/>
      <c r="C20" s="19"/>
      <c r="D20" s="19"/>
      <c r="E20" s="19"/>
    </row>
    <row r="21" customFormat="false" ht="15" hidden="false" customHeight="false" outlineLevel="0" collapsed="false">
      <c r="A21" s="66" t="s">
        <v>258</v>
      </c>
      <c r="B21" s="74" t="n">
        <v>10</v>
      </c>
      <c r="C21" s="74" t="n">
        <v>10</v>
      </c>
      <c r="D21" s="74" t="n">
        <v>10</v>
      </c>
      <c r="E21" s="89" t="s">
        <v>259</v>
      </c>
    </row>
    <row r="22" customFormat="false" ht="15" hidden="false" customHeight="false" outlineLevel="0" collapsed="false">
      <c r="A22" s="55" t="s">
        <v>260</v>
      </c>
      <c r="B22" s="59" t="n">
        <f aca="false">B6*B21</f>
        <v>4010</v>
      </c>
      <c r="C22" s="60" t="n">
        <f aca="false">C6*C21</f>
        <v>4010</v>
      </c>
      <c r="D22" s="61" t="n">
        <f aca="false">D6*D21</f>
        <v>4010</v>
      </c>
      <c r="E22" s="89" t="s">
        <v>261</v>
      </c>
    </row>
    <row r="23" customFormat="false" ht="15" hidden="false" customHeight="false" outlineLevel="0" collapsed="false">
      <c r="A23" s="55" t="s">
        <v>262</v>
      </c>
      <c r="B23" s="59" t="n">
        <f aca="false">B13*B21</f>
        <v>10861.66</v>
      </c>
      <c r="C23" s="60" t="n">
        <f aca="false">C13*C21</f>
        <v>20365.6125</v>
      </c>
      <c r="D23" s="61" t="n">
        <f aca="false">D13*D21</f>
        <v>33942.6875</v>
      </c>
      <c r="E23" s="89" t="s">
        <v>263</v>
      </c>
    </row>
    <row r="24" customFormat="false" ht="15" hidden="false" customHeight="false" outlineLevel="0" collapsed="false">
      <c r="A24" s="55" t="s">
        <v>264</v>
      </c>
      <c r="B24" s="94" t="n">
        <f aca="false">IFERROR(B22/B23,"-")</f>
        <v>0.369188503414763</v>
      </c>
      <c r="C24" s="95" t="n">
        <f aca="false">IFERROR(C22/C23,"-")</f>
        <v>0.196900535154541</v>
      </c>
      <c r="D24" s="96" t="n">
        <f aca="false">IFERROR(D22/D23,"-")</f>
        <v>0.118140321092724</v>
      </c>
      <c r="E24" s="89" t="s">
        <v>265</v>
      </c>
    </row>
    <row r="25" customFormat="false" ht="15" hidden="false" customHeight="false" outlineLevel="0" collapsed="false">
      <c r="A25" s="55" t="s">
        <v>266</v>
      </c>
      <c r="B25" s="59" t="n">
        <f aca="false">B23*12</f>
        <v>130339.92</v>
      </c>
      <c r="C25" s="60" t="n">
        <f aca="false">C23*12</f>
        <v>244387.35</v>
      </c>
      <c r="D25" s="61" t="n">
        <f aca="false">D23*12</f>
        <v>407312.25</v>
      </c>
      <c r="E25" s="89" t="s">
        <v>267</v>
      </c>
    </row>
    <row r="26" customFormat="false" ht="15" hidden="false" customHeight="false" outlineLevel="0" collapsed="false">
      <c r="A26" s="97" t="s">
        <v>268</v>
      </c>
      <c r="B26" s="98" t="n">
        <f aca="false">B25*5</f>
        <v>651699.6</v>
      </c>
      <c r="C26" s="99" t="n">
        <f aca="false">C25*5</f>
        <v>1221936.75</v>
      </c>
      <c r="D26" s="100" t="n">
        <f aca="false">D25*5</f>
        <v>2036561.25</v>
      </c>
      <c r="E26" s="89" t="s">
        <v>269</v>
      </c>
    </row>
    <row r="29" customFormat="false" ht="15" hidden="false" customHeight="false" outlineLevel="0" collapsed="false">
      <c r="A29" s="68" t="s">
        <v>270</v>
      </c>
      <c r="B29" s="68"/>
      <c r="C29" s="68"/>
      <c r="D29" s="68"/>
      <c r="E29" s="68"/>
    </row>
    <row r="30" customFormat="false" ht="27.75" hidden="false" customHeight="true" outlineLevel="0" collapsed="false">
      <c r="A30" s="101" t="s">
        <v>271</v>
      </c>
      <c r="B30" s="102" t="s">
        <v>272</v>
      </c>
      <c r="C30" s="103" t="s">
        <v>273</v>
      </c>
      <c r="D30" s="103"/>
      <c r="E30" s="103"/>
    </row>
    <row r="31" customFormat="false" ht="27.75" hidden="false" customHeight="true" outlineLevel="0" collapsed="false">
      <c r="A31" s="101" t="s">
        <v>274</v>
      </c>
      <c r="B31" s="102" t="s">
        <v>275</v>
      </c>
      <c r="C31" s="103" t="s">
        <v>276</v>
      </c>
      <c r="D31" s="103"/>
      <c r="E31" s="103"/>
    </row>
    <row r="32" customFormat="false" ht="27.75" hidden="false" customHeight="true" outlineLevel="0" collapsed="false">
      <c r="A32" s="101" t="s">
        <v>277</v>
      </c>
      <c r="B32" s="102" t="s">
        <v>278</v>
      </c>
      <c r="C32" s="103" t="s">
        <v>279</v>
      </c>
      <c r="D32" s="103"/>
      <c r="E32" s="103"/>
    </row>
    <row r="33" customFormat="false" ht="27.75" hidden="false" customHeight="true" outlineLevel="0" collapsed="false">
      <c r="A33" s="101" t="s">
        <v>280</v>
      </c>
      <c r="B33" s="102" t="s">
        <v>281</v>
      </c>
      <c r="C33" s="103" t="s">
        <v>282</v>
      </c>
      <c r="D33" s="103"/>
      <c r="E33" s="103"/>
    </row>
  </sheetData>
  <mergeCells count="9">
    <mergeCell ref="A1:E1"/>
    <mergeCell ref="A2:E2"/>
    <mergeCell ref="A5:E5"/>
    <mergeCell ref="A20:E20"/>
    <mergeCell ref="A29:E29"/>
    <mergeCell ref="C30:E30"/>
    <mergeCell ref="C31:E31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7" t="s">
        <v>283</v>
      </c>
      <c r="B1" s="17"/>
      <c r="C1" s="17"/>
      <c r="D1" s="17"/>
      <c r="E1" s="17"/>
    </row>
    <row r="2" customFormat="false" ht="15" hidden="false" customHeight="false" outlineLevel="0" collapsed="false">
      <c r="A2" s="18" t="s">
        <v>284</v>
      </c>
      <c r="B2" s="18"/>
      <c r="C2" s="18"/>
      <c r="D2" s="18"/>
      <c r="E2" s="18"/>
    </row>
    <row r="4" customFormat="false" ht="15" hidden="false" customHeight="false" outlineLevel="0" collapsed="false">
      <c r="A4" s="20" t="s">
        <v>228</v>
      </c>
      <c r="B4" s="29" t="s">
        <v>75</v>
      </c>
      <c r="C4" s="30" t="s">
        <v>76</v>
      </c>
      <c r="D4" s="31" t="s">
        <v>77</v>
      </c>
      <c r="E4" s="20" t="s">
        <v>229</v>
      </c>
    </row>
    <row r="5" customFormat="false" ht="15" hidden="false" customHeight="false" outlineLevel="0" collapsed="false">
      <c r="A5" s="19" t="s">
        <v>285</v>
      </c>
      <c r="B5" s="19"/>
      <c r="C5" s="19"/>
      <c r="D5" s="19"/>
      <c r="E5" s="19"/>
    </row>
    <row r="6" customFormat="false" ht="15" hidden="false" customHeight="false" outlineLevel="0" collapsed="false">
      <c r="A6" s="66" t="s">
        <v>286</v>
      </c>
      <c r="B6" s="56" t="n">
        <f aca="false">'P&amp;L'!C26</f>
        <v>343170.23</v>
      </c>
      <c r="C6" s="57" t="n">
        <f aca="false">'P&amp;L'!K26</f>
        <v>1547763.3625</v>
      </c>
      <c r="D6" s="58" t="n">
        <f aca="false">'P&amp;L'!S26</f>
        <v>5442477.875</v>
      </c>
      <c r="E6" s="89" t="s">
        <v>287</v>
      </c>
    </row>
    <row r="7" customFormat="false" ht="15" hidden="false" customHeight="false" outlineLevel="0" collapsed="false">
      <c r="A7" s="66" t="s">
        <v>288</v>
      </c>
      <c r="B7" s="56" t="n">
        <f aca="false">'P&amp;L'!D26</f>
        <v>1268513.3625</v>
      </c>
      <c r="C7" s="57" t="n">
        <f aca="false">'P&amp;L'!L26</f>
        <v>5605848.105</v>
      </c>
      <c r="D7" s="58" t="n">
        <f aca="false">'P&amp;L'!T26</f>
        <v>19609760.35</v>
      </c>
      <c r="E7" s="89" t="s">
        <v>287</v>
      </c>
    </row>
    <row r="8" customFormat="false" ht="15" hidden="false" customHeight="false" outlineLevel="0" collapsed="false">
      <c r="A8" s="66" t="s">
        <v>289</v>
      </c>
      <c r="B8" s="56" t="n">
        <f aca="false">'P&amp;L'!E26</f>
        <v>3666108.89</v>
      </c>
      <c r="C8" s="57" t="n">
        <f aca="false">'P&amp;L'!M26</f>
        <v>15040465.93</v>
      </c>
      <c r="D8" s="58" t="n">
        <f aca="false">'P&amp;L'!U26</f>
        <v>49434037.05</v>
      </c>
      <c r="E8" s="89" t="s">
        <v>287</v>
      </c>
    </row>
    <row r="9" customFormat="false" ht="15" hidden="false" customHeight="false" outlineLevel="0" collapsed="false">
      <c r="A9" s="66" t="s">
        <v>290</v>
      </c>
      <c r="B9" s="56" t="n">
        <f aca="false">'P&amp;L'!F26</f>
        <v>5815119.1375</v>
      </c>
      <c r="C9" s="57" t="n">
        <f aca="false">'P&amp;L'!N26</f>
        <v>21070447.125</v>
      </c>
      <c r="D9" s="58" t="n">
        <f aca="false">'P&amp;L'!V26</f>
        <v>69524620.8</v>
      </c>
      <c r="E9" s="89" t="s">
        <v>287</v>
      </c>
    </row>
    <row r="10" customFormat="false" ht="15" hidden="false" customHeight="false" outlineLevel="0" collapsed="false">
      <c r="A10" s="66" t="s">
        <v>291</v>
      </c>
      <c r="B10" s="56" t="n">
        <f aca="false">'P&amp;L'!G26</f>
        <v>6994022.1625</v>
      </c>
      <c r="C10" s="57" t="n">
        <f aca="false">'P&amp;L'!O26</f>
        <v>25126718.875</v>
      </c>
      <c r="D10" s="58" t="n">
        <f aca="false">'P&amp;L'!W26</f>
        <v>83144251.4</v>
      </c>
      <c r="E10" s="89" t="s">
        <v>287</v>
      </c>
    </row>
    <row r="11" customFormat="false" ht="15" hidden="false" customHeight="false" outlineLevel="0" collapsed="false">
      <c r="A11" s="66" t="s">
        <v>292</v>
      </c>
      <c r="B11" s="56" t="n">
        <f aca="false">'P&amp;L'!H26</f>
        <v>7603205.675</v>
      </c>
      <c r="C11" s="57" t="n">
        <f aca="false">'P&amp;L'!P26</f>
        <v>28296228.4375</v>
      </c>
      <c r="D11" s="58" t="n">
        <f aca="false">'P&amp;L'!X26</f>
        <v>94408795.1</v>
      </c>
      <c r="E11" s="89" t="s">
        <v>287</v>
      </c>
    </row>
    <row r="12" customFormat="false" ht="15" hidden="false" customHeight="false" outlineLevel="0" collapsed="false">
      <c r="A12" s="66" t="s">
        <v>293</v>
      </c>
      <c r="B12" s="56" t="n">
        <f aca="false">'P&amp;L'!I26</f>
        <v>8211902.1375</v>
      </c>
      <c r="C12" s="57" t="n">
        <f aca="false">'P&amp;L'!Q26</f>
        <v>31565754.95</v>
      </c>
      <c r="D12" s="58" t="n">
        <f aca="false">'P&amp;L'!Y26</f>
        <v>106835896.75</v>
      </c>
      <c r="E12" s="89" t="s">
        <v>287</v>
      </c>
    </row>
    <row r="14" customFormat="false" ht="15" hidden="false" customHeight="false" outlineLevel="0" collapsed="false">
      <c r="A14" s="19" t="s">
        <v>294</v>
      </c>
      <c r="B14" s="19"/>
      <c r="C14" s="19"/>
      <c r="D14" s="19"/>
      <c r="E14" s="19"/>
    </row>
    <row r="15" customFormat="false" ht="15" hidden="false" customHeight="false" outlineLevel="0" collapsed="false">
      <c r="A15" s="5" t="s">
        <v>295</v>
      </c>
      <c r="B15" s="104" t="n">
        <f aca="false">NPV(ASSUMPTIONS!B65,'P&amp;L'!C26,'P&amp;L'!D26,'P&amp;L'!E26,'P&amp;L'!F26,'P&amp;L'!G26,'P&amp;L'!H26,'P&amp;L'!I26)</f>
        <v>11352401.9162214</v>
      </c>
      <c r="C15" s="105" t="n">
        <f aca="false">NPV(ASSUMPTIONS!B65,'P&amp;L'!K26,'P&amp;L'!L26,'P&amp;L'!M26,'P&amp;L'!N26,'P&amp;L'!O26,'P&amp;L'!P26,'P&amp;L'!Q26)</f>
        <v>43428155.5367302</v>
      </c>
      <c r="D15" s="106" t="n">
        <f aca="false">NPV(ASSUMPTIONS!B65,'P&amp;L'!S26,'P&amp;L'!T26,'P&amp;L'!U26,'P&amp;L'!V26,'P&amp;L'!W26,'P&amp;L'!X26,'P&amp;L'!Y26)</f>
        <v>145090259.508832</v>
      </c>
      <c r="E15" s="89" t="s">
        <v>296</v>
      </c>
    </row>
    <row r="16" customFormat="false" ht="32.8" hidden="false" customHeight="false" outlineLevel="0" collapsed="false">
      <c r="A16" s="5" t="s">
        <v>297</v>
      </c>
      <c r="B16" s="107" t="s">
        <v>298</v>
      </c>
      <c r="C16" s="108" t="s">
        <v>299</v>
      </c>
      <c r="D16" s="109" t="s">
        <v>300</v>
      </c>
      <c r="E16" s="89" t="s">
        <v>301</v>
      </c>
    </row>
    <row r="18" customFormat="false" ht="15" hidden="false" customHeight="false" outlineLevel="0" collapsed="false">
      <c r="A18" s="19" t="s">
        <v>302</v>
      </c>
      <c r="B18" s="19"/>
      <c r="C18" s="19"/>
      <c r="D18" s="19"/>
      <c r="E18" s="19"/>
    </row>
    <row r="19" customFormat="false" ht="15" hidden="false" customHeight="false" outlineLevel="0" collapsed="false">
      <c r="A19" s="20" t="s">
        <v>303</v>
      </c>
      <c r="B19" s="29" t="s">
        <v>75</v>
      </c>
      <c r="C19" s="30" t="s">
        <v>76</v>
      </c>
      <c r="D19" s="31" t="s">
        <v>77</v>
      </c>
      <c r="E19" s="20" t="s">
        <v>229</v>
      </c>
    </row>
    <row r="20" customFormat="false" ht="15" hidden="false" customHeight="false" outlineLevel="0" collapsed="false">
      <c r="A20" s="5" t="s">
        <v>304</v>
      </c>
      <c r="B20" s="110" t="n">
        <f aca="false">'P&amp;L'!I10</f>
        <v>12846498.75</v>
      </c>
      <c r="C20" s="111" t="n">
        <f aca="false">'P&amp;L'!Q10</f>
        <v>46291480</v>
      </c>
      <c r="D20" s="112" t="n">
        <f aca="false">'P&amp;L'!Y10</f>
        <v>153045888</v>
      </c>
      <c r="E20" s="89" t="s">
        <v>305</v>
      </c>
    </row>
    <row r="21" customFormat="false" ht="15" hidden="false" customHeight="false" outlineLevel="0" collapsed="false">
      <c r="A21" s="5" t="s">
        <v>306</v>
      </c>
      <c r="B21" s="110" t="n">
        <f aca="false">'P&amp;L'!I26</f>
        <v>8211902.1375</v>
      </c>
      <c r="C21" s="111" t="n">
        <f aca="false">'P&amp;L'!Q26</f>
        <v>31565754.95</v>
      </c>
      <c r="D21" s="112" t="n">
        <f aca="false">'P&amp;L'!Y26</f>
        <v>106835896.75</v>
      </c>
      <c r="E21" s="89" t="s">
        <v>307</v>
      </c>
    </row>
    <row r="22" customFormat="false" ht="15" hidden="false" customHeight="false" outlineLevel="0" collapsed="false">
      <c r="A22" s="5" t="s">
        <v>308</v>
      </c>
      <c r="B22" s="113" t="n">
        <f aca="false">ASSUMPTIONS!B19+ASSUMPTIONS!B20+ASSUMPTIONS!B21+ASSUMPTIONS!B22+ASSUMPTIONS!B23+ASSUMPTIONS!B24+ASSUMPTIONS!B25</f>
        <v>375</v>
      </c>
      <c r="C22" s="114" t="n">
        <f aca="false">ASSUMPTIONS!C19+ASSUMPTIONS!C20+ASSUMPTIONS!C21+ASSUMPTIONS!C22+ASSUMPTIONS!C23+ASSUMPTIONS!C24+ASSUMPTIONS!C25</f>
        <v>800</v>
      </c>
      <c r="D22" s="115" t="n">
        <f aca="false">ASSUMPTIONS!D19+ASSUMPTIONS!D20+ASSUMPTIONS!D21+ASSUMPTIONS!D22+ASSUMPTIONS!D23+ASSUMPTIONS!D24+ASSUMPTIONS!D25</f>
        <v>1600</v>
      </c>
      <c r="E22" s="89" t="s">
        <v>309</v>
      </c>
    </row>
    <row r="23" customFormat="false" ht="15" hidden="false" customHeight="false" outlineLevel="0" collapsed="false">
      <c r="A23" s="5" t="s">
        <v>310</v>
      </c>
      <c r="B23" s="113" t="n">
        <f aca="false">'P&amp;L'!I21</f>
        <v>0</v>
      </c>
      <c r="C23" s="114" t="n">
        <f aca="false">'P&amp;L'!Q21</f>
        <v>0</v>
      </c>
      <c r="D23" s="115" t="n">
        <f aca="false">'P&amp;L'!Y21</f>
        <v>0</v>
      </c>
      <c r="E23" s="89" t="s">
        <v>311</v>
      </c>
    </row>
    <row r="25" customFormat="false" ht="15" hidden="false" customHeight="false" outlineLevel="0" collapsed="false">
      <c r="A25" s="68" t="s">
        <v>312</v>
      </c>
      <c r="B25" s="68"/>
      <c r="C25" s="68"/>
      <c r="D25" s="68"/>
      <c r="E25" s="68"/>
    </row>
    <row r="26" customFormat="false" ht="15" hidden="false" customHeight="false" outlineLevel="0" collapsed="false">
      <c r="A26" s="20" t="s">
        <v>313</v>
      </c>
      <c r="B26" s="21" t="s">
        <v>314</v>
      </c>
      <c r="C26" s="21" t="s">
        <v>315</v>
      </c>
      <c r="D26" s="21" t="s">
        <v>316</v>
      </c>
      <c r="E26" s="20" t="s">
        <v>317</v>
      </c>
    </row>
    <row r="27" customFormat="false" ht="27.75" hidden="false" customHeight="true" outlineLevel="0" collapsed="false">
      <c r="A27" s="16" t="s">
        <v>318</v>
      </c>
      <c r="B27" s="77" t="n">
        <f aca="false">ROUND(500000*0.4/401,0)</f>
        <v>499</v>
      </c>
      <c r="C27" s="116" t="s">
        <v>319</v>
      </c>
      <c r="D27" s="116" t="s">
        <v>320</v>
      </c>
      <c r="E27" s="6" t="s">
        <v>321</v>
      </c>
    </row>
    <row r="28" customFormat="false" ht="27.75" hidden="false" customHeight="true" outlineLevel="0" collapsed="false">
      <c r="A28" s="16" t="s">
        <v>322</v>
      </c>
      <c r="B28" s="77" t="n">
        <f aca="false">ROUND(1000000*0.4/401,0)</f>
        <v>998</v>
      </c>
      <c r="C28" s="116" t="s">
        <v>323</v>
      </c>
      <c r="D28" s="116" t="s">
        <v>324</v>
      </c>
      <c r="E28" s="6" t="s">
        <v>325</v>
      </c>
    </row>
    <row r="29" customFormat="false" ht="27.75" hidden="false" customHeight="true" outlineLevel="0" collapsed="false">
      <c r="A29" s="16" t="s">
        <v>326</v>
      </c>
      <c r="B29" s="77" t="n">
        <f aca="false">ROUND(2000000*0.4/401,0)</f>
        <v>1995</v>
      </c>
      <c r="C29" s="116" t="s">
        <v>327</v>
      </c>
      <c r="D29" s="116" t="s">
        <v>324</v>
      </c>
      <c r="E29" s="6" t="s">
        <v>328</v>
      </c>
    </row>
  </sheetData>
  <mergeCells count="6">
    <mergeCell ref="A1:E1"/>
    <mergeCell ref="A2:E2"/>
    <mergeCell ref="A5:E5"/>
    <mergeCell ref="A14:E14"/>
    <mergeCell ref="A18:E18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7" t="s">
        <v>329</v>
      </c>
      <c r="B1" s="17"/>
      <c r="C1" s="17"/>
      <c r="D1" s="17"/>
      <c r="E1" s="17"/>
    </row>
    <row r="2" customFormat="false" ht="15" hidden="false" customHeight="false" outlineLevel="0" collapsed="false">
      <c r="A2" s="18" t="s">
        <v>330</v>
      </c>
      <c r="B2" s="18"/>
      <c r="C2" s="18"/>
      <c r="D2" s="18"/>
      <c r="E2" s="18"/>
    </row>
    <row r="4" customFormat="false" ht="15" hidden="false" customHeight="false" outlineLevel="0" collapsed="false">
      <c r="A4" s="117"/>
      <c r="B4" s="29" t="s">
        <v>75</v>
      </c>
      <c r="C4" s="30" t="s">
        <v>76</v>
      </c>
      <c r="D4" s="31" t="s">
        <v>77</v>
      </c>
      <c r="E4" s="20" t="s">
        <v>331</v>
      </c>
    </row>
    <row r="5" customFormat="false" ht="15" hidden="false" customHeight="false" outlineLevel="0" collapsed="false">
      <c r="A5" s="19" t="s">
        <v>332</v>
      </c>
      <c r="B5" s="19"/>
      <c r="C5" s="19"/>
      <c r="D5" s="19"/>
      <c r="E5" s="19"/>
    </row>
    <row r="6" customFormat="false" ht="15" hidden="false" customHeight="false" outlineLevel="0" collapsed="false">
      <c r="A6" s="55" t="s">
        <v>333</v>
      </c>
      <c r="B6" s="59" t="n">
        <f aca="false">'P&amp;L'!I10</f>
        <v>12846498.75</v>
      </c>
      <c r="C6" s="60" t="n">
        <f aca="false">'P&amp;L'!Q10</f>
        <v>46291480</v>
      </c>
      <c r="D6" s="61" t="n">
        <f aca="false">'P&amp;L'!Y10</f>
        <v>153045888</v>
      </c>
      <c r="E6" s="89" t="s">
        <v>334</v>
      </c>
    </row>
    <row r="7" customFormat="false" ht="15" hidden="false" customHeight="false" outlineLevel="0" collapsed="false">
      <c r="A7" s="55" t="s">
        <v>335</v>
      </c>
      <c r="B7" s="118" t="n">
        <f aca="false">ASSUMPTIONS!B67</f>
        <v>10</v>
      </c>
      <c r="C7" s="119" t="n">
        <f aca="false">ASSUMPTIONS!B67</f>
        <v>10</v>
      </c>
      <c r="D7" s="120" t="n">
        <f aca="false">ASSUMPTIONS!B67</f>
        <v>10</v>
      </c>
      <c r="E7" s="89" t="s">
        <v>336</v>
      </c>
    </row>
    <row r="8" customFormat="false" ht="15" hidden="false" customHeight="false" outlineLevel="0" collapsed="false">
      <c r="A8" s="62" t="s">
        <v>337</v>
      </c>
      <c r="B8" s="121" t="n">
        <f aca="false">B6*B7</f>
        <v>128464987.5</v>
      </c>
      <c r="C8" s="121" t="n">
        <f aca="false">C6*C7</f>
        <v>462914800</v>
      </c>
      <c r="D8" s="121" t="n">
        <f aca="false">D6*D7</f>
        <v>1530458880</v>
      </c>
      <c r="E8" s="89" t="s">
        <v>338</v>
      </c>
    </row>
    <row r="11" customFormat="false" ht="15" hidden="false" customHeight="false" outlineLevel="0" collapsed="false">
      <c r="A11" s="19" t="s">
        <v>339</v>
      </c>
      <c r="B11" s="19"/>
      <c r="C11" s="19"/>
      <c r="D11" s="19"/>
      <c r="E11" s="19"/>
    </row>
    <row r="12" customFormat="false" ht="15" hidden="false" customHeight="false" outlineLevel="0" collapsed="false">
      <c r="A12" s="55" t="s">
        <v>340</v>
      </c>
      <c r="B12" s="122" t="n">
        <f aca="false">ASSUMPTIONS!B19+ASSUMPTIONS!B20+ASSUMPTIONS!B21+ASSUMPTIONS!B22+ASSUMPTIONS!B23+ASSUMPTIONS!B24+ASSUMPTIONS!B25</f>
        <v>375</v>
      </c>
      <c r="C12" s="77" t="n">
        <f aca="false">ASSUMPTIONS!C19+ASSUMPTIONS!C20+ASSUMPTIONS!C21+ASSUMPTIONS!C22+ASSUMPTIONS!C23+ASSUMPTIONS!C24+ASSUMPTIONS!C25</f>
        <v>800</v>
      </c>
      <c r="D12" s="123" t="n">
        <f aca="false">ASSUMPTIONS!D19+ASSUMPTIONS!D20+ASSUMPTIONS!D21+ASSUMPTIONS!D22+ASSUMPTIONS!D23+ASSUMPTIONS!D24+ASSUMPTIONS!D25</f>
        <v>1600</v>
      </c>
      <c r="E12" s="89" t="s">
        <v>341</v>
      </c>
    </row>
    <row r="13" customFormat="false" ht="15" hidden="false" customHeight="false" outlineLevel="0" collapsed="false">
      <c r="A13" s="55" t="s">
        <v>342</v>
      </c>
      <c r="B13" s="59" t="n">
        <f aca="false">ASSUMPTIONS!B68</f>
        <v>50000</v>
      </c>
      <c r="C13" s="60" t="n">
        <f aca="false">ASSUMPTIONS!B68</f>
        <v>50000</v>
      </c>
      <c r="D13" s="61" t="n">
        <f aca="false">ASSUMPTIONS!B68</f>
        <v>50000</v>
      </c>
      <c r="E13" s="89" t="s">
        <v>343</v>
      </c>
    </row>
    <row r="14" customFormat="false" ht="15" hidden="false" customHeight="false" outlineLevel="0" collapsed="false">
      <c r="A14" s="62" t="s">
        <v>344</v>
      </c>
      <c r="B14" s="121" t="n">
        <f aca="false">B12*B13</f>
        <v>18750000</v>
      </c>
      <c r="C14" s="121" t="n">
        <f aca="false">C12*C13</f>
        <v>40000000</v>
      </c>
      <c r="D14" s="121" t="n">
        <f aca="false">D12*D13</f>
        <v>80000000</v>
      </c>
      <c r="E14" s="89" t="s">
        <v>345</v>
      </c>
    </row>
    <row r="17" customFormat="false" ht="15" hidden="false" customHeight="false" outlineLevel="0" collapsed="false">
      <c r="A17" s="19" t="s">
        <v>346</v>
      </c>
      <c r="B17" s="19"/>
      <c r="C17" s="19"/>
      <c r="D17" s="19"/>
      <c r="E17" s="19"/>
    </row>
    <row r="18" customFormat="false" ht="15" hidden="false" customHeight="false" outlineLevel="0" collapsed="false">
      <c r="A18" s="55" t="s">
        <v>347</v>
      </c>
      <c r="B18" s="122" t="n">
        <f aca="false">ROUND(ASSUMPTIONS!B60*1000*(1+ASSUMPTIONS!B61)^4,0)</f>
        <v>10368</v>
      </c>
      <c r="C18" s="77" t="n">
        <f aca="false">ROUND(ASSUMPTIONS!C60*1000*(1+ASSUMPTIONS!C61)^4,0)</f>
        <v>38416</v>
      </c>
      <c r="D18" s="123" t="n">
        <f aca="false">ROUND(ASSUMPTIONS!D60*1000*(1+ASSUMPTIONS!D61)^4,0)</f>
        <v>131072</v>
      </c>
      <c r="E18" s="89" t="s">
        <v>348</v>
      </c>
    </row>
    <row r="19" customFormat="false" ht="15" hidden="false" customHeight="false" outlineLevel="0" collapsed="false">
      <c r="A19" s="55" t="s">
        <v>349</v>
      </c>
      <c r="B19" s="59" t="n">
        <f aca="false">ASSUMPTIONS!B69</f>
        <v>2000</v>
      </c>
      <c r="C19" s="60" t="n">
        <f aca="false">ASSUMPTIONS!B69</f>
        <v>2000</v>
      </c>
      <c r="D19" s="61" t="n">
        <f aca="false">ASSUMPTIONS!B69</f>
        <v>2000</v>
      </c>
      <c r="E19" s="89" t="s">
        <v>350</v>
      </c>
    </row>
    <row r="20" customFormat="false" ht="15" hidden="false" customHeight="false" outlineLevel="0" collapsed="false">
      <c r="A20" s="62" t="s">
        <v>351</v>
      </c>
      <c r="B20" s="121" t="n">
        <f aca="false">B18*B19</f>
        <v>20736000</v>
      </c>
      <c r="C20" s="121" t="n">
        <f aca="false">C18*C19</f>
        <v>76832000</v>
      </c>
      <c r="D20" s="121" t="n">
        <f aca="false">D18*D19</f>
        <v>262144000</v>
      </c>
      <c r="E20" s="89" t="s">
        <v>352</v>
      </c>
    </row>
    <row r="23" customFormat="false" ht="15" hidden="false" customHeight="false" outlineLevel="0" collapsed="false">
      <c r="A23" s="68" t="s">
        <v>353</v>
      </c>
      <c r="B23" s="68"/>
      <c r="C23" s="68"/>
      <c r="D23" s="68"/>
      <c r="E23" s="68"/>
    </row>
    <row r="24" customFormat="false" ht="15" hidden="false" customHeight="false" outlineLevel="0" collapsed="false">
      <c r="A24" s="20" t="s">
        <v>354</v>
      </c>
      <c r="B24" s="29" t="s">
        <v>355</v>
      </c>
      <c r="C24" s="30" t="s">
        <v>356</v>
      </c>
      <c r="D24" s="31" t="s">
        <v>357</v>
      </c>
      <c r="E24" s="20" t="s">
        <v>358</v>
      </c>
    </row>
    <row r="25" customFormat="false" ht="15" hidden="false" customHeight="false" outlineLevel="0" collapsed="false">
      <c r="A25" s="5" t="s">
        <v>359</v>
      </c>
      <c r="B25" s="124" t="n">
        <f aca="false">B8</f>
        <v>128464987.5</v>
      </c>
      <c r="C25" s="125" t="n">
        <f aca="false">C8</f>
        <v>462914800</v>
      </c>
      <c r="D25" s="126" t="n">
        <f aca="false">D8</f>
        <v>1530458880</v>
      </c>
      <c r="E25" s="89" t="s">
        <v>360</v>
      </c>
    </row>
    <row r="26" customFormat="false" ht="15" hidden="false" customHeight="false" outlineLevel="0" collapsed="false">
      <c r="A26" s="5" t="s">
        <v>361</v>
      </c>
      <c r="B26" s="124" t="n">
        <f aca="false">B14</f>
        <v>18750000</v>
      </c>
      <c r="C26" s="125" t="n">
        <f aca="false">C14</f>
        <v>40000000</v>
      </c>
      <c r="D26" s="126" t="n">
        <f aca="false">D14</f>
        <v>80000000</v>
      </c>
      <c r="E26" s="89" t="s">
        <v>362</v>
      </c>
    </row>
    <row r="27" customFormat="false" ht="15" hidden="false" customHeight="false" outlineLevel="0" collapsed="false">
      <c r="A27" s="5" t="s">
        <v>363</v>
      </c>
      <c r="B27" s="124" t="n">
        <f aca="false">B20</f>
        <v>20736000</v>
      </c>
      <c r="C27" s="125" t="n">
        <f aca="false">C20</f>
        <v>76832000</v>
      </c>
      <c r="D27" s="126" t="n">
        <f aca="false">D20</f>
        <v>262144000</v>
      </c>
      <c r="E27" s="89" t="s">
        <v>364</v>
      </c>
    </row>
    <row r="30" customFormat="false" ht="15" hidden="false" customHeight="false" outlineLevel="0" collapsed="false">
      <c r="A30" s="19" t="s">
        <v>365</v>
      </c>
      <c r="B30" s="19"/>
      <c r="C30" s="19"/>
      <c r="D30" s="19"/>
      <c r="E30" s="19"/>
    </row>
    <row r="31" customFormat="false" ht="15" hidden="false" customHeight="false" outlineLevel="0" collapsed="false">
      <c r="A31" s="117"/>
      <c r="B31" s="21" t="s">
        <v>366</v>
      </c>
      <c r="C31" s="21" t="s">
        <v>367</v>
      </c>
      <c r="D31" s="21" t="s">
        <v>368</v>
      </c>
      <c r="E31" s="20" t="s">
        <v>229</v>
      </c>
    </row>
    <row r="32" customFormat="false" ht="15" hidden="false" customHeight="false" outlineLevel="0" collapsed="false">
      <c r="A32" s="40" t="s">
        <v>369</v>
      </c>
      <c r="B32" s="127" t="n">
        <v>0.2</v>
      </c>
      <c r="C32" s="127" t="n">
        <v>0.3</v>
      </c>
      <c r="D32" s="127" t="n">
        <v>0.4</v>
      </c>
      <c r="E32" s="89" t="s">
        <v>370</v>
      </c>
    </row>
    <row r="33" customFormat="false" ht="15" hidden="false" customHeight="false" outlineLevel="0" collapsed="false">
      <c r="A33" s="40" t="s">
        <v>371</v>
      </c>
      <c r="B33" s="128" t="n">
        <f aca="false">C14</f>
        <v>40000000</v>
      </c>
      <c r="C33" s="128" t="n">
        <f aca="false">C14</f>
        <v>40000000</v>
      </c>
      <c r="D33" s="128" t="n">
        <f aca="false">C14</f>
        <v>40000000</v>
      </c>
      <c r="E33" s="89" t="s">
        <v>372</v>
      </c>
    </row>
    <row r="34" customFormat="false" ht="15" hidden="false" customHeight="false" outlineLevel="0" collapsed="false">
      <c r="A34" s="40" t="s">
        <v>373</v>
      </c>
      <c r="B34" s="129" t="n">
        <f aca="false">B33*B32</f>
        <v>8000000</v>
      </c>
      <c r="C34" s="129" t="n">
        <f aca="false">C33*C32</f>
        <v>12000000</v>
      </c>
      <c r="D34" s="129" t="n">
        <f aca="false">D33*D32</f>
        <v>16000000</v>
      </c>
      <c r="E34" s="89" t="s">
        <v>374</v>
      </c>
    </row>
    <row r="35" customFormat="false" ht="15" hidden="false" customHeight="false" outlineLevel="0" collapsed="false">
      <c r="A35" s="40" t="s">
        <v>375</v>
      </c>
      <c r="B35" s="130" t="n">
        <f aca="false">IFERROR(B34/500000,"-")</f>
        <v>16</v>
      </c>
      <c r="C35" s="130" t="n">
        <f aca="false">IFERROR(C34/1000000,"-")</f>
        <v>12</v>
      </c>
      <c r="D35" s="130" t="n">
        <f aca="false">IFERROR(D34/2000000,"-")</f>
        <v>8</v>
      </c>
      <c r="E35" s="89" t="s">
        <v>376</v>
      </c>
    </row>
  </sheetData>
  <mergeCells count="7">
    <mergeCell ref="A1:E1"/>
    <mergeCell ref="A2:E2"/>
    <mergeCell ref="A5:E5"/>
    <mergeCell ref="A11:E11"/>
    <mergeCell ref="A17:E17"/>
    <mergeCell ref="A23:E23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2026-03-16T22:24:06Z</dcterms:created>
  <dc:creator>openpyxl</dc:creator>
  <dc:description/>
  <dc:language>en-US</dc:language>
  <cp:lastModifiedBy/>
  <dcterms:modified xsi:type="dcterms:W3CDTF">2026-03-16T22:24:07Z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